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E2F3108F-449D-E04F-89FB-C35967DCF489}" xr6:coauthVersionLast="47" xr6:coauthVersionMax="47" xr10:uidLastSave="{00000000-0000-0000-0000-000000000000}"/>
  <bookViews>
    <workbookView xWindow="20" yWindow="17560" windowWidth="64000" windowHeight="18440" activeTab="11" xr2:uid="{B81BA0A3-71F8-624E-A3D5-0115DDCF4DDD}"/>
    <workbookView xWindow="0" yWindow="500" windowWidth="64000" windowHeight="1694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module (8)" sheetId="23" r:id="rId16"/>
    <sheet name="方針0" sheetId="20" r:id="rId17"/>
    <sheet name="方針1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22" l="1"/>
  <c r="J4" i="22"/>
  <c r="J5" i="22"/>
  <c r="J6" i="22"/>
  <c r="J7" i="22"/>
  <c r="J8" i="22"/>
  <c r="J9" i="22"/>
  <c r="J10" i="22"/>
  <c r="J11" i="22"/>
  <c r="J2" i="22"/>
  <c r="E3" i="22"/>
  <c r="G3" i="22" s="1"/>
  <c r="F3" i="22"/>
  <c r="H3" i="22" s="1"/>
  <c r="E4" i="22"/>
  <c r="G4" i="22" s="1"/>
  <c r="F4" i="22"/>
  <c r="H4" i="22" s="1"/>
  <c r="E5" i="22"/>
  <c r="G5" i="22" s="1"/>
  <c r="F5" i="22"/>
  <c r="H5" i="22" s="1"/>
  <c r="E6" i="22"/>
  <c r="G6" i="22" s="1"/>
  <c r="F6" i="22"/>
  <c r="H6" i="22" s="1"/>
  <c r="E7" i="22"/>
  <c r="G7" i="22" s="1"/>
  <c r="F7" i="22"/>
  <c r="H7" i="22" s="1"/>
  <c r="E8" i="22"/>
  <c r="G8" i="22" s="1"/>
  <c r="F8" i="22"/>
  <c r="H8" i="22" s="1"/>
  <c r="E9" i="22"/>
  <c r="G9" i="22" s="1"/>
  <c r="F9" i="22"/>
  <c r="H9" i="22" s="1"/>
  <c r="E10" i="22"/>
  <c r="G10" i="22" s="1"/>
  <c r="F10" i="22"/>
  <c r="H10" i="22" s="1"/>
  <c r="E11" i="22"/>
  <c r="G11" i="22" s="1"/>
  <c r="F11" i="22"/>
  <c r="H11" i="22" s="1"/>
  <c r="F2" i="22"/>
  <c r="H2" i="22" s="1"/>
  <c r="E2" i="22"/>
  <c r="G2" i="22" s="1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A11" i="23" a="1"/>
  <c r="B7" i="23" a="1"/>
  <c r="B11" i="23" a="1"/>
  <c r="A4" i="23" a="1"/>
  <c r="A8" i="23" a="1"/>
  <c r="B4" i="23" a="1"/>
  <c r="B8" i="23" a="1"/>
  <c r="A5" i="23" a="1"/>
  <c r="A9" i="23" a="1"/>
  <c r="B5" i="23" a="1"/>
  <c r="B9" i="23" a="1"/>
  <c r="A6" i="23" a="1"/>
  <c r="A10" i="23" a="1"/>
  <c r="B6" i="23" a="1"/>
  <c r="B10" i="23" a="1"/>
  <c r="B3" i="23" a="1"/>
  <c r="B2" i="23" a="1"/>
  <c r="A2" i="23" a="1"/>
  <c r="I11" i="22" a="1"/>
  <c r="I7" i="22" a="1"/>
  <c r="I8" i="22" a="1"/>
  <c r="I10" i="22" a="1"/>
  <c r="I5" i="22" a="1"/>
  <c r="I4" i="22" a="1"/>
  <c r="I6" i="22" a="1"/>
  <c r="I9" i="22" a="1"/>
  <c r="I9" i="22" l="1"/>
  <c r="I6" i="22"/>
  <c r="I4" i="22"/>
  <c r="I5" i="22"/>
  <c r="I10" i="22"/>
  <c r="I8" i="22"/>
  <c r="I7" i="22"/>
  <c r="I11" i="22"/>
  <c r="B3" i="23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  <c r="K9" i="22" a="1"/>
  <c r="K11" i="22" a="1"/>
  <c r="K6" i="22" a="1"/>
  <c r="K4" i="22" a="1"/>
  <c r="K5" i="22" a="1"/>
  <c r="K10" i="22" a="1"/>
  <c r="K8" i="22" a="1"/>
  <c r="K7" i="22" a="1"/>
  <c r="K7" i="22" l="1"/>
  <c r="K8" i="22"/>
  <c r="K10" i="22"/>
  <c r="K5" i="22"/>
  <c r="K4" i="22"/>
  <c r="K6" i="22"/>
  <c r="K11" i="22"/>
  <c r="K9" i="22"/>
  <c r="K2" i="22"/>
  <c r="K2" i="22" a="1"/>
  <c r="I2" i="22"/>
  <c r="I3" i="22"/>
  <c r="K3" i="22"/>
  <c r="I2" i="22" a="1"/>
  <c r="I3" i="22" a="1"/>
  <c r="K3" i="2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<sst xmlns="http://schemas.openxmlformats.org/spreadsheetml/2006/main" count="293" uniqueCount="99">
  <si>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</si>
  <si>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</si>
  <si>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</si>
  <si>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</si>
  <si>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</si>
  <si>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</si>
  <si>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</si>
  <si>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</si>
  <si>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</si>
  <si>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</si>
  <si>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</si>
  <si>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</si>
  <si>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</si>
  <si>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</si>
  <si>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</si>
  <si>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</si>
  <si>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</si>
  <si>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</si>
  <si>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</si>
  <si>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</si>
  <si>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</si>
  <si>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</si>
  <si>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</si>
  <si>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</si>
  <si>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</si>
  <si>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</si>
  <si>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</si>
  <si>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</si>
  <si>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</si>
  <si>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</si>
  <si>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</si>
  <si>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</si>
  <si>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</si>
  <si>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</si>
  <si>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</si>
  <si>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</si>
  <si>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</si>
  <si>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</si>
  <si>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</si>
  <si>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</si>
  <si>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</si>
  <si>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</si>
  <si>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</si>
  <si>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</si>
  <si>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</si>
  <si>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</si>
  <si>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</si>
  <si>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</si>
  <si>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</si>
  <si>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</si>
  <si>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</si>
  <si>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</si>
  <si>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</si>
  <si>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</si>
  <si>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</si>
  <si>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</si>
  <si>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</si>
  <si>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</si>
  <si>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</si>
  <si>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</si>
  <si>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</si>
  <si>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</si>
  <si>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</si>
  <si>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</si>
  <si>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</si>
  <si>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</si>
  <si>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</si>
  <si>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</si>
  <si>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</si>
  <si>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</si>
  <si>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</si>
  <si>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</si>
  <si>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</si>
  <si>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</si>
  <si>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</si>
  <si>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</si>
  <si>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</si>
  <si>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</si>
  <si>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</si>
  <si>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</si>
  <si>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</si>
  <si>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</si>
  <si>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</si>
  <si>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</si>
  <si>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</si>
  <si>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</si>
  <si>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カナ半角→全角</t>
    <rPh sb="2" eb="3">
      <t xml:space="preserve">ハｎ </t>
    </rPh>
    <rPh sb="3" eb="4">
      <t xml:space="preserve">ゼンカク </t>
    </rPh>
    <rPh sb="5" eb="6">
      <t xml:space="preserve">ゼン </t>
    </rPh>
    <rPh sb="6" eb="7">
      <t xml:space="preserve">ハンカク </t>
    </rPh>
    <phoneticPr fontId="1"/>
  </si>
  <si>
    <t>ハイフン全角→半角</t>
    <phoneticPr fontId="1"/>
  </si>
  <si>
    <t>大阪府大阪市北区梅田3－1－1　グランフロントOSAKA</t>
    <phoneticPr fontId="1"/>
  </si>
  <si>
    <t>福岡市博多区博多駅前1ー1ー1　ﾀﾜｰﾊｶﾀ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</si>
  <si>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</si>
  <si>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</si>
  <si>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</si>
  <si>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</si>
  <si>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</si>
  <si>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</si>
  <si>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０６ー６５７８ー１２３４</t>
    <phoneticPr fontId="1"/>
  </si>
  <si>
    <t>東京都新宿区西新宿2丁目8-1　SHINJUKUタワー</t>
    <phoneticPr fontId="1"/>
  </si>
  <si>
    <t>目標</t>
    <rPh sb="0" eb="2">
      <t xml:space="preserve">モクヒョウ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</si>
</sst>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0" fillId="8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・・全角の英数字を　半角の英数字にする。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全角英字を**半角英字に、**全角数字**を**半角数字**にする。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workbookViewId="1">
      <selection activeCell="N45" sqref="N45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opLeftCell="A5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L11"/>
  <sheetViews>
    <sheetView tabSelected="1" topLeftCell="F1" zoomScale="200" zoomScaleNormal="200" workbookViewId="0">
      <selection activeCell="I2" sqref="I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5.28515625" bestFit="1" customWidth="1"/>
    <col min="6" max="6" width="16" bestFit="1" customWidth="1"/>
    <col min="7" max="7" width="59.140625" bestFit="1" customWidth="1"/>
    <col min="8" max="8" width="23.28515625" bestFit="1" customWidth="1"/>
    <col min="9" max="9" width="59.140625" bestFit="1" customWidth="1"/>
    <col min="10" max="10" width="14.28515625" bestFit="1" customWidth="1"/>
    <col min="11" max="11" width="59.140625" bestFit="1" customWidth="1"/>
    <col min="12" max="12" width="13.28515625" bestFit="1" customWidth="1"/>
  </cols>
  <sheetData>
    <row r="1" spans="1:12" ht="53" customHeight="1">
      <c r="A1" s="3" t="s">
        <v>18</v>
      </c>
      <c r="B1" s="3" t="s">
        <v>19</v>
      </c>
      <c r="C1" s="1" t="s">
        <v>6</v>
      </c>
      <c r="D1" s="1" t="s">
        <v>7</v>
      </c>
      <c r="E1" s="12" t="s">
        <v>85</v>
      </c>
      <c r="F1" s="12"/>
      <c r="G1" s="10" t="s">
        <v>86</v>
      </c>
      <c r="I1" t="s">
        <v>98</v>
      </c>
      <c r="K1" s="11" t="s">
        <v>87</v>
      </c>
      <c r="L1" s="13"/>
    </row>
    <row r="2" spans="1:12" ht="27" customHeight="1">
      <c r="A2" s="4"/>
      <c r="B2" s="4"/>
      <c r="C2" s="2" t="s">
        <v>97</v>
      </c>
      <c r="D2" s="2" t="s">
        <v>8</v>
      </c>
      <c r="E2" t="str">
        <f>ASC(C2)</f>
        <v>東京都新宿区西新宿2丁目8-1 SHINJUKUﾀﾜｰ</v>
      </c>
      <c r="F2" t="str">
        <f>ASC(D2)</f>
        <v>03-1234-5678</v>
      </c>
      <c r="G2" t="str">
        <f>DBCS(E2)</f>
        <v>東京都新宿区西新宿２丁目８－１　ＳＨＩＮＪＵＫＵタワー</v>
      </c>
      <c r="H2" s="14" t="str">
        <f>F2</f>
        <v>03-1234-5678</v>
      </c>
      <c r="I2" s="14" cm="1">
        <f t="array" aca="1" ref="I2" ca="1">_xlfn.TEXTJOIN("",TRUE,IF(_xlfn.UNICODE(MID(I2,ROW(INDIRECT("1:"&amp;LEN(I2))),1))&gt;=65296,CHAR(_xlfn.UNICODE(MID(I2,ROW(INDIRECT("1:"&amp;LEN(I2))),1))-65248),MID(I2,ROW(INDIRECT("1:"&amp;LEN(I2))),1)))</f>
        <v>0</v>
      </c>
      <c r="J2" s="14" t="str">
        <f>H2</f>
        <v>03-1234-5678</v>
      </c>
      <c r="K2" t="str" cm="1">
        <f t="array" aca="1" ref="K2" ca="1">_xlfn.TEXTJOIN("",TRUE,IF(AND(CODE(MID(I2,ROW(INDIRECT("1:"&amp;LEN(I2)-1)),1))&gt;=48,CODE(MID(I2,ROW(INDIRECT("1:"&amp;LEN(I2)-1)),1))&lt;=122,MID(I2,ROW(INDIRECT("2:"&amp;LEN(I2))),1)="ー"),"-",MID(I2,ROW(INDIRECT("2:"&amp;LEN(I2))),1)))</f>
        <v>京都新宿区西新宿2丁目8－1　SHINJUKUタワー</v>
      </c>
    </row>
    <row r="3" spans="1:12" ht="27" customHeight="1">
      <c r="A3" s="4"/>
      <c r="B3" s="4"/>
      <c r="C3" s="2" t="s">
        <v>73</v>
      </c>
      <c r="D3" s="2" t="s">
        <v>9</v>
      </c>
      <c r="E3" t="str">
        <f t="shared" ref="E3:E11" si="0">ASC(C3)</f>
        <v>北海道札幌市中央区北3条西2丁目1番地 ﾎｯｶｲﾄﾞｳﾋﾞﾙ</v>
      </c>
      <c r="F3" t="str">
        <f t="shared" ref="F3:F11" si="1">ASC(D3)</f>
        <v>011-234-5678</v>
      </c>
      <c r="G3" t="str">
        <f t="shared" ref="G3:G11" si="2">DBCS(E3)</f>
        <v>北海道札幌市中央区北３条西２丁目１番地　ホッカイドウビル</v>
      </c>
      <c r="H3" s="14" t="str">
        <f t="shared" ref="H3:H11" si="3">F3</f>
        <v>011-234-5678</v>
      </c>
      <c r="I3" s="14" cm="1">
        <f t="array" aca="1" ref="I3" ca="1">_xlfn.TEXTJOIN("",TRUE,IF(_xlfn.UNICODE(MID(I2,ROW(INDIRECT("1:"&amp;LEN(I2))),1))&gt;=65296,CHAR(_xlfn.UNICODE(MID(I2,ROW(INDIRECT("1:"&amp;LEN(I2))),1))-65248),MID(I2,ROW(INDIRECT("1:"&amp;LEN(I2))),1)))</f>
        <v>0</v>
      </c>
      <c r="J3" s="14" t="str">
        <f t="shared" ref="J3:J11" si="4">H3</f>
        <v>011-234-5678</v>
      </c>
      <c r="K3" t="str" cm="1">
        <f t="array" aca="1" ref="K3" ca="1">_xlfn.TEXTJOIN("",TRUE,IF(AND(CODE(MID(I3,ROW(INDIRECT("1:"&amp;LEN(I3)-1)),1))&gt;=48,CODE(MID(I3,ROW(INDIRECT("1:"&amp;LEN(I3)-1)),1))&lt;=122,MID(I3,ROW(INDIRECT("2:"&amp;LEN(I3))),1)="ー"),"-",MID(I3,ROW(INDIRECT("2:"&amp;LEN(I3))),1)))</f>
        <v>海道札幌市中央区北3条西2丁目1番地　ホッカイドウビル</v>
      </c>
    </row>
    <row r="4" spans="1:12" ht="27" customHeight="1">
      <c r="A4" s="4"/>
      <c r="B4" s="4"/>
      <c r="C4" s="2" t="s">
        <v>88</v>
      </c>
      <c r="D4" s="2" t="s">
        <v>10</v>
      </c>
      <c r="E4" t="str">
        <f t="shared" si="0"/>
        <v>大阪府大阪市北区梅田3-1-1 ｸﾞﾗﾝﾌﾛﾝﾄOSAKA</v>
      </c>
      <c r="F4" t="str">
        <f t="shared" si="1"/>
        <v>06-6578-1234</v>
      </c>
      <c r="G4" t="str">
        <f t="shared" si="2"/>
        <v>大阪府大阪市北区梅田３－１－１　グランフロントＯＳＡＫＡ</v>
      </c>
      <c r="H4" s="14" t="str">
        <f t="shared" si="3"/>
        <v>06-6578-1234</v>
      </c>
      <c r="I4" s="14" t="str" cm="1">
        <f t="array" aca="1" ref="I4" ca="1">_xlfn.TEXTJOIN("",TRUE,IF(_xlfn.UNICODE(MID(G4,ROW(INDIRECT("1:"&amp;LEN(G4))),1))&gt;=65296,CHAR(_xlfn.UNICODE(MID(G4,ROW(INDIRECT("1:"&amp;LEN(G4))),1))-65248),MID(G4,ROW(INDIRECT("1:"&amp;LEN(G4))),1)))</f>
        <v>大阪府大阪市北区梅田3－1－1　グランフロントOSAKA</v>
      </c>
      <c r="J4" s="14" t="str">
        <f t="shared" si="4"/>
        <v>06-6578-1234</v>
      </c>
      <c r="K4" t="str" cm="1">
        <f t="array" aca="1" ref="K4" ca="1">_xlfn.TEXTJOIN("",TRUE,IF(AND(CODE(MID(I4,ROW(INDIRECT("1:"&amp;LEN(I4)-1)),1))&gt;=48,CODE(MID(I4,ROW(INDIRECT("1:"&amp;LEN(I4)-1)),1))&lt;=122,MID(I4,ROW(INDIRECT("2:"&amp;LEN(I4))),1)="ー"),"-",MID(I4,ROW(INDIRECT("2:"&amp;LEN(I4))),1)))</f>
        <v>阪府大阪市北区梅田3－1－1　グランフロントOSAKA</v>
      </c>
    </row>
    <row r="5" spans="1:12" ht="27" customHeight="1">
      <c r="A5" s="4"/>
      <c r="B5" s="4"/>
      <c r="C5" s="2" t="s">
        <v>89</v>
      </c>
      <c r="D5" s="2" t="s">
        <v>96</v>
      </c>
      <c r="E5" t="str">
        <f t="shared" si="0"/>
        <v>福岡市博多区博多駅前1ｰ1ｰ1 ﾀﾜｰﾊｶﾀ</v>
      </c>
      <c r="F5" s="15" t="str">
        <f t="shared" si="1"/>
        <v>06ｰ6578ｰ1234</v>
      </c>
      <c r="G5" t="str">
        <f t="shared" si="2"/>
        <v>福岡市博多区博多駅前１ー１ー１　タワーハカタ</v>
      </c>
      <c r="H5" s="14" t="str">
        <f t="shared" si="3"/>
        <v>06ｰ6578ｰ1234</v>
      </c>
      <c r="I5" s="14" t="str" cm="1">
        <f t="array" aca="1" ref="I5" ca="1">_xlfn.TEXTJOIN("",TRUE,IF(_xlfn.UNICODE(MID(G5,ROW(INDIRECT("1:"&amp;LEN(G5))),1))&gt;=65296,CHAR(_xlfn.UNICODE(MID(G5,ROW(INDIRECT("1:"&amp;LEN(G5))),1))-65248),MID(G5,ROW(INDIRECT("1:"&amp;LEN(G5))),1)))</f>
        <v>福岡市博多区博多駅前1ー1ー1　タワーハカタ</v>
      </c>
      <c r="J5" s="14" t="str">
        <f t="shared" si="4"/>
        <v>06ｰ6578ｰ1234</v>
      </c>
      <c r="K5" t="str" cm="1">
        <f t="array" aca="1" ref="K5" ca="1">_xlfn.TEXTJOIN("",TRUE,IF(AND(CODE(MID(I5,ROW(INDIRECT("1:"&amp;LEN(I5)-1)),1))&gt;=48,CODE(MID(I5,ROW(INDIRECT("1:"&amp;LEN(I5)-1)),1))&lt;=122,MID(I5,ROW(INDIRECT("2:"&amp;LEN(I5))),1)="ー"),"-",MID(I5,ROW(INDIRECT("2:"&amp;LEN(I5))),1)))</f>
        <v>岡市博多区博多駅前1ー1ー1　タワーハカタ</v>
      </c>
    </row>
    <row r="6" spans="1:12" ht="27" customHeight="1">
      <c r="A6" s="4"/>
      <c r="B6" s="4"/>
      <c r="C6" s="2" t="s">
        <v>3</v>
      </c>
      <c r="D6" s="2" t="s">
        <v>12</v>
      </c>
      <c r="E6" t="str">
        <f t="shared" si="0"/>
        <v>神奈川県横浜市西区みなとみらい3-5-1 ﾖｺﾊﾏﾋﾞﾙ</v>
      </c>
      <c r="F6" t="str">
        <f t="shared" si="1"/>
        <v>045-1234-5678</v>
      </c>
      <c r="G6" t="str">
        <f t="shared" si="2"/>
        <v>神奈川県横浜市西区みなとみらい３－５－１　ヨコハマビル</v>
      </c>
      <c r="H6" s="14" t="str">
        <f t="shared" si="3"/>
        <v>045-1234-5678</v>
      </c>
      <c r="I6" s="14" t="str" cm="1">
        <f t="array" aca="1" ref="I6" ca="1">_xlfn.TEXTJOIN("",TRUE,IF(_xlfn.UNICODE(MID(G6,ROW(INDIRECT("1:"&amp;LEN(G6))),1))&gt;=65296,CHAR(_xlfn.UNICODE(MID(G6,ROW(INDIRECT("1:"&amp;LEN(G6))),1))-65248),MID(G6,ROW(INDIRECT("1:"&amp;LEN(G6))),1)))</f>
        <v>神奈川県横浜市西区みなとみらい3－5－1　ヨコハマビル</v>
      </c>
      <c r="J6" s="14" t="str">
        <f t="shared" si="4"/>
        <v>045-1234-5678</v>
      </c>
      <c r="K6" t="str" cm="1">
        <f t="array" aca="1" ref="K6" ca="1">_xlfn.TEXTJOIN("",TRUE,IF(AND(CODE(MID(I6,ROW(INDIRECT("1:"&amp;LEN(I6)-1)),1))&gt;=48,CODE(MID(I6,ROW(INDIRECT("1:"&amp;LEN(I6)-1)),1))&lt;=122,MID(I6,ROW(INDIRECT("2:"&amp;LEN(I6))),1)="ー"),"-",MID(I6,ROW(INDIRECT("2:"&amp;LEN(I6))),1)))</f>
        <v>奈川県横浜市西区みなとみらい3－5－1　ヨコハマビル</v>
      </c>
    </row>
    <row r="7" spans="1:12" ht="27" customHeight="1">
      <c r="A7" s="4"/>
      <c r="B7" s="4"/>
      <c r="C7" s="2" t="s">
        <v>20</v>
      </c>
      <c r="D7" s="2" t="s">
        <v>13</v>
      </c>
      <c r="E7" t="str">
        <f t="shared" si="0"/>
        <v>名古屋市中区錦1-1-1 ﾅｺﾞﾔｸﾞﾗﾝﾄﾞﾀﾜｰﾅｺﾞﾔ</v>
      </c>
      <c r="F7" t="str">
        <f t="shared" si="1"/>
        <v>052-1234-5678</v>
      </c>
      <c r="G7" t="str">
        <f t="shared" si="2"/>
        <v>名古屋市中区錦１－１－１　ナゴヤグランドタワーナゴヤ</v>
      </c>
      <c r="H7" s="14" t="str">
        <f t="shared" si="3"/>
        <v>052-1234-5678</v>
      </c>
      <c r="I7" s="14" t="str" cm="1">
        <f t="array" aca="1" ref="I7" ca="1">_xlfn.TEXTJOIN("",TRUE,IF(_xlfn.UNICODE(MID(G7,ROW(INDIRECT("1:"&amp;LEN(G7))),1))&gt;=65296,CHAR(_xlfn.UNICODE(MID(G7,ROW(INDIRECT("1:"&amp;LEN(G7))),1))-65248),MID(G7,ROW(INDIRECT("1:"&amp;LEN(G7))),1)))</f>
        <v>名古屋市中区錦1－1－1　ナゴヤグランドタワーナゴヤ</v>
      </c>
      <c r="J7" s="14" t="str">
        <f t="shared" si="4"/>
        <v>052-1234-5678</v>
      </c>
      <c r="K7" t="str" cm="1">
        <f t="array" aca="1" ref="K7" ca="1">_xlfn.TEXTJOIN("",TRUE,IF(AND(CODE(MID(I7,ROW(INDIRECT("1:"&amp;LEN(I7)-1)),1))&gt;=48,CODE(MID(I7,ROW(INDIRECT("1:"&amp;LEN(I7)-1)),1))&lt;=122,MID(I7,ROW(INDIRECT("2:"&amp;LEN(I7))),1)="ー"),"-",MID(I7,ROW(INDIRECT("2:"&amp;LEN(I7))),1)))</f>
        <v>古屋市中区錦1－1－1　ナゴヤグランドタワーナゴヤ</v>
      </c>
    </row>
    <row r="8" spans="1:12" ht="27" customHeight="1">
      <c r="A8" s="4"/>
      <c r="B8" s="4"/>
      <c r="C8" s="2" t="s">
        <v>4</v>
      </c>
      <c r="D8" s="2" t="s">
        <v>14</v>
      </c>
      <c r="E8" t="str">
        <f t="shared" si="0"/>
        <v>さいたま市大宮区桜木町1丁目1番地1号 OMIYA PLAZA</v>
      </c>
      <c r="F8" t="str">
        <f t="shared" si="1"/>
        <v>048-9876-1234</v>
      </c>
      <c r="G8" t="str">
        <f t="shared" si="2"/>
        <v>さいたま市大宮区桜木町１丁目１番地１号　ＯＭＩＹＡ　ＰＬＡＺＡ</v>
      </c>
      <c r="H8" s="14" t="str">
        <f t="shared" si="3"/>
        <v>048-9876-1234</v>
      </c>
      <c r="I8" s="14" t="str" cm="1">
        <f t="array" aca="1" ref="I8" ca="1">_xlfn.TEXTJOIN("",TRUE,IF(_xlfn.UNICODE(MID(G8,ROW(INDIRECT("1:"&amp;LEN(G8))),1))&gt;=65296,CHAR(_xlfn.UNICODE(MID(G8,ROW(INDIRECT("1:"&amp;LEN(G8))),1))-65248),MID(G8,ROW(INDIRECT("1:"&amp;LEN(G8))),1)))</f>
        <v>さいたま市大宮区桜木町1丁目1番地1号　OMIYA　PLAZA</v>
      </c>
      <c r="J8" s="14" t="str">
        <f t="shared" si="4"/>
        <v>048-9876-1234</v>
      </c>
      <c r="K8" t="str" cm="1">
        <f t="array" aca="1" ref="K8" ca="1">_xlfn.TEXTJOIN("",TRUE,IF(AND(CODE(MID(I8,ROW(INDIRECT("1:"&amp;LEN(I8)-1)),1))&gt;=48,CODE(MID(I8,ROW(INDIRECT("1:"&amp;LEN(I8)-1)),1))&lt;=122,MID(I8,ROW(INDIRECT("2:"&amp;LEN(I8))),1)="ー"),"-",MID(I8,ROW(INDIRECT("2:"&amp;LEN(I8))),1)))</f>
        <v>いたま市大宮区桜木町1丁目1番地1号　OMIYA　PLAZA</v>
      </c>
    </row>
    <row r="9" spans="1:12" ht="27" customHeight="1">
      <c r="A9" s="4"/>
      <c r="B9" s="4"/>
      <c r="C9" s="2" t="s">
        <v>74</v>
      </c>
      <c r="D9" s="2" t="s">
        <v>15</v>
      </c>
      <c r="E9" t="str">
        <f t="shared" si="0"/>
        <v>千葉県千葉市中央区富士見2丁目3-10 ﾁﾊﾞｾﾝﾀｰ</v>
      </c>
      <c r="F9" s="15" t="str">
        <f t="shared" si="1"/>
        <v>043ｰ123ｰ4567</v>
      </c>
      <c r="G9" t="str">
        <f t="shared" si="2"/>
        <v>千葉県千葉市中央区富士見２丁目３－１０　チバセンター</v>
      </c>
      <c r="H9" s="14" t="str">
        <f t="shared" si="3"/>
        <v>043ｰ123ｰ4567</v>
      </c>
      <c r="I9" s="14" t="str" cm="1">
        <f t="array" aca="1" ref="I9" ca="1">_xlfn.TEXTJOIN("",TRUE,IF(_xlfn.UNICODE(MID(G9,ROW(INDIRECT("1:"&amp;LEN(G9))),1))&gt;=65296,CHAR(_xlfn.UNICODE(MID(G9,ROW(INDIRECT("1:"&amp;LEN(G9))),1))-65248),MID(G9,ROW(INDIRECT("1:"&amp;LEN(G9))),1)))</f>
        <v>千葉県千葉市中央区富士見2丁目3－10　チバセンター</v>
      </c>
      <c r="J9" s="14" t="str">
        <f t="shared" si="4"/>
        <v>043ｰ123ｰ4567</v>
      </c>
      <c r="K9" t="str" cm="1">
        <f t="array" aca="1" ref="K9" ca="1">_xlfn.TEXTJOIN("",TRUE,IF(AND(CODE(MID(I9,ROW(INDIRECT("1:"&amp;LEN(I9)-1)),1))&gt;=48,CODE(MID(I9,ROW(INDIRECT("1:"&amp;LEN(I9)-1)),1))&lt;=122,MID(I9,ROW(INDIRECT("2:"&amp;LEN(I9))),1)="ー"),"-",MID(I9,ROW(INDIRECT("2:"&amp;LEN(I9))),1)))</f>
        <v>葉県千葉市中央区富士見2丁目3－10　チバセンター</v>
      </c>
    </row>
    <row r="10" spans="1:12" ht="27" customHeight="1">
      <c r="A10" s="4"/>
      <c r="B10" s="4"/>
      <c r="C10" s="2" t="s">
        <v>75</v>
      </c>
      <c r="D10" s="2" t="s">
        <v>16</v>
      </c>
      <c r="E10" t="str">
        <f t="shared" si="0"/>
        <v>京都府京都市下京区四条通烏丸東入長刀鉾町 ｷｮｳﾄﾋﾞﾙﾃﾞｨﾝｸﾞ</v>
      </c>
      <c r="F10" t="str">
        <f t="shared" si="1"/>
        <v>075-234-5678</v>
      </c>
      <c r="G10" t="str">
        <f t="shared" si="2"/>
        <v>京都府京都市下京区四条通烏丸東入長刀鉾町　キョウトビルディング</v>
      </c>
      <c r="H10" s="14" t="str">
        <f t="shared" si="3"/>
        <v>075-234-5678</v>
      </c>
      <c r="I10" s="14" t="str" cm="1">
        <f t="array" aca="1" ref="I10" ca="1">_xlfn.TEXTJOIN("",TRUE,IF(_xlfn.UNICODE(MID(G10,ROW(INDIRECT("1:"&amp;LEN(G10))),1))&gt;=65296,CHAR(_xlfn.UNICODE(MID(G10,ROW(INDIRECT("1:"&amp;LEN(G10))),1))-65248),MID(G10,ROW(INDIRECT("1:"&amp;LEN(G10))),1)))</f>
        <v>京都府京都市下京区四条通烏丸東入長刀鉾町　キョウトビルディング</v>
      </c>
      <c r="J10" s="14" t="str">
        <f t="shared" si="4"/>
        <v>075-234-5678</v>
      </c>
      <c r="K10" t="str" cm="1">
        <f t="array" aca="1" ref="K10" ca="1">_xlfn.TEXTJOIN("",TRUE,IF(AND(CODE(MID(I10,ROW(INDIRECT("1:"&amp;LEN(I10)-1)),1))&gt;=48,CODE(MID(I10,ROW(INDIRECT("1:"&amp;LEN(I10)-1)),1))&lt;=122,MID(I10,ROW(INDIRECT("2:"&amp;LEN(I10))),1)="ー"),"-",MID(I10,ROW(INDIRECT("2:"&amp;LEN(I10))),1)))</f>
        <v>都府京都市下京区四条通烏丸東入長刀鉾町　キョウトビルディング</v>
      </c>
    </row>
    <row r="11" spans="1:12" ht="27" customHeight="1">
      <c r="A11" s="4"/>
      <c r="B11" s="4"/>
      <c r="C11" s="2" t="s">
        <v>5</v>
      </c>
      <c r="D11" s="2" t="s">
        <v>17</v>
      </c>
      <c r="E11" t="str">
        <f t="shared" si="0"/>
        <v>広島県広島市中区紙屋町2丁目2番15号 ﾋﾛｼﾏﾀﾜｰ</v>
      </c>
      <c r="F11" t="str">
        <f t="shared" si="1"/>
        <v>082-5678-1234</v>
      </c>
      <c r="G11" t="str">
        <f t="shared" si="2"/>
        <v>広島県広島市中区紙屋町２丁目２番１５号　ヒロシマタワー</v>
      </c>
      <c r="H11" s="14" t="str">
        <f t="shared" si="3"/>
        <v>082-5678-1234</v>
      </c>
      <c r="I11" s="14" t="str" cm="1">
        <f t="array" aca="1" ref="I11" ca="1">_xlfn.TEXTJOIN("",TRUE,IF(_xlfn.UNICODE(MID(G11,ROW(INDIRECT("1:"&amp;LEN(G11))),1))&gt;=65296,CHAR(_xlfn.UNICODE(MID(G11,ROW(INDIRECT("1:"&amp;LEN(G11))),1))-65248),MID(G11,ROW(INDIRECT("1:"&amp;LEN(G11))),1)))</f>
        <v>広島県広島市中区紙屋町2丁目2番15号　ヒロシマタワー</v>
      </c>
      <c r="J11" s="14" t="str">
        <f t="shared" si="4"/>
        <v>082-5678-1234</v>
      </c>
      <c r="K11" t="str" cm="1">
        <f t="array" aca="1" ref="K11" ca="1">_xlfn.TEXTJOIN("",TRUE,IF(AND(CODE(MID(I11,ROW(INDIRECT("1:"&amp;LEN(I11)-1)),1))&gt;=48,CODE(MID(I11,ROW(INDIRECT("1:"&amp;LEN(I11)-1)),1))&lt;=122,MID(I11,ROW(INDIRECT("2:"&amp;LEN(I11))),1)="ー"),"-",MID(I11,ROW(INDIRECT("2:"&amp;LEN(I11))),1)))</f>
        <v>島県広島市中区紙屋町2丁目2番15号　ヒロシマタワー</v>
      </c>
    </row>
  </sheetData>
  <mergeCells count="1">
    <mergeCell ref="E1:F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zoomScale="190" zoomScaleNormal="190" workbookViewId="0">
      <selection activeCell="A4" sqref="A4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94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95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ホッカイトﾞウビル</v>
      </c>
      <c r="B3" s="4" t="str" cm="1">
        <f t="array" ref="B3">NormalizeJapaneseText(D3)</f>
        <v>011-234-5678</v>
      </c>
      <c r="C3" s="2" t="s">
        <v>91</v>
      </c>
      <c r="D3" s="2" t="s">
        <v>93</v>
      </c>
    </row>
    <row r="4" spans="1:4" ht="27" customHeight="1">
      <c r="A4" s="4" t="str" cm="1">
        <f t="array" ref="A4">NormalizeJapaneseText(C4)</f>
        <v>大阪府大阪市北区梅田3-1-1 グランフロントOSAKA</v>
      </c>
      <c r="B4" s="4" t="str" cm="1">
        <f t="array" ref="B4">NormalizeJapaneseText(D4)</f>
        <v>06-6578-1234</v>
      </c>
      <c r="C4" s="2" t="s">
        <v>88</v>
      </c>
      <c r="D4" s="2" t="s">
        <v>10</v>
      </c>
    </row>
    <row r="5" spans="1:4" ht="27" customHeight="1">
      <c r="A5" s="4" t="str" cm="1">
        <f t="array" ref="A5">NormalizeJapaneseText(C5)</f>
        <v>福岡市博多区博多駅前1-1-1 タワーハカタ</v>
      </c>
      <c r="B5" s="4" t="str" cm="1">
        <f t="array" ref="B5">NormalizeJapaneseText(D5)</f>
        <v>092-234-1234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ヨコハマヒﾞル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92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2025-01-25T00:00:32Z</dcterms:modified>
</cp:coreProperties>
</file>