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9DD669FE-FBA3-174A-92C7-BE07B30B936D}" xr6:coauthVersionLast="47" xr6:coauthVersionMax="47" xr10:uidLastSave="{00000000-0000-0000-0000-000000000000}"/>
  <bookViews>
    <workbookView xWindow="0" yWindow="9160" windowWidth="51060" windowHeight="19460" activeTab="19" xr2:uid="{B81BA0A3-71F8-624E-A3D5-0115DDCF4DDD}"/>
    <workbookView xWindow="0" yWindow="500" windowWidth="51180" windowHeight="20520" activeTab="8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-1_全角半角" sheetId="29" r:id="rId6"/>
    <sheet name="P6-2_全角半角" sheetId="31" r:id="rId7"/>
    <sheet name="P6-3_全角半角" sheetId="32" r:id="rId8"/>
    <sheet name="P6-4_全角半角" sheetId="33" r:id="rId9"/>
    <sheet name="P6-_全角半角" sheetId="28" r:id="rId10"/>
    <sheet name="P6_全角半角" sheetId="6" r:id="rId11"/>
    <sheet name="P7_マージ" sheetId="7" r:id="rId12"/>
    <sheet name="module (1)" sheetId="9" r:id="rId13"/>
    <sheet name="module (2)" sheetId="14" r:id="rId14"/>
    <sheet name="module (3)" sheetId="15" r:id="rId15"/>
    <sheet name="module (4-1)" sheetId="16" r:id="rId16"/>
    <sheet name="module (4-2)" sheetId="22" r:id="rId17"/>
    <sheet name="module (4-3) " sheetId="25" r:id="rId18"/>
    <sheet name="module (5)" sheetId="17" r:id="rId19"/>
    <sheet name="module (6)" sheetId="27" r:id="rId20"/>
    <sheet name="module (7)" sheetId="19" r:id="rId21"/>
    <sheet name="module (8)" sheetId="23" r:id="rId22"/>
    <sheet name="方針0" sheetId="20" r:id="rId23"/>
    <sheet name="方針1" sheetId="21" r:id="rId24"/>
  </sheets>
  <functionGroups builtInGroupCount="19"/>
  <definedNames>
    <definedName name="_xleta.AND" hidden="1" xlm="1">#NAME?</definedName>
    <definedName name="_xleta.ASC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27" l="1" a="1"/>
  <c r="A2" i="27" a="1"/>
  <c r="A3" i="27" a="1"/>
  <c r="A7" i="27" a="1"/>
  <c r="A11" i="27" a="1"/>
  <c r="B3" i="27" a="1"/>
  <c r="B7" i="27" a="1"/>
  <c r="B11" i="27" a="1"/>
  <c r="A4" i="27" a="1"/>
  <c r="A8" i="27" a="1"/>
  <c r="B4" i="27" a="1"/>
  <c r="A5" i="27" a="1"/>
  <c r="A9" i="27" a="1"/>
  <c r="B5" i="27" a="1"/>
  <c r="B9" i="27" a="1"/>
  <c r="A6" i="27" a="1"/>
  <c r="A10" i="27" a="1"/>
  <c r="B6" i="27" a="1"/>
  <c r="B10" i="27" a="1"/>
  <c r="B8" i="27" a="1"/>
  <c r="B10" i="17" a="1"/>
  <c r="A9" i="17" a="1"/>
  <c r="A5" i="17" a="1"/>
  <c r="B4" i="17" a="1"/>
  <c r="A3" i="17" a="1"/>
  <c r="A8" i="17" a="1"/>
  <c r="B7" i="17" a="1"/>
  <c r="B3" i="17" a="1"/>
  <c r="A7" i="17" a="1"/>
  <c r="A12" i="27" a="1"/>
  <c r="B6" i="17" a="1"/>
  <c r="A6" i="17" a="1"/>
  <c r="B9" i="17" a="1"/>
  <c r="B5" i="17" a="1"/>
  <c r="B2" i="17" a="1"/>
  <c r="A2" i="17" a="1"/>
  <c r="A10" i="17" a="1"/>
  <c r="B11" i="17" a="1"/>
  <c r="B8" i="17" a="1"/>
  <c r="A4" i="17" a="1"/>
  <c r="A11" i="17" a="1"/>
  <c r="A12" i="17" a="1"/>
  <c r="B5" i="25" a="1"/>
  <c r="B10" i="25" a="1"/>
  <c r="B7" i="25" a="1"/>
  <c r="B2" i="25" a="1"/>
  <c r="A2" i="25" a="1"/>
  <c r="B8" i="25" a="1"/>
  <c r="B9" i="25" a="1"/>
  <c r="A6" i="25" a="1"/>
  <c r="A9" i="25" a="1"/>
  <c r="A10" i="25" a="1"/>
  <c r="A8" i="25" a="1"/>
  <c r="B6" i="25" a="1"/>
  <c r="B4" i="25" a="1"/>
  <c r="A3" i="25" a="1"/>
  <c r="A5" i="25" a="1"/>
  <c r="A7" i="25" a="1"/>
  <c r="A11" i="25" a="1"/>
  <c r="B3" i="25" a="1"/>
  <c r="B11" i="25" a="1"/>
  <c r="A4" i="25" a="1"/>
  <c r="B2" i="27" l="1"/>
  <c r="A2" i="27"/>
  <c r="B8" i="27"/>
  <c r="B10" i="27"/>
  <c r="B6" i="27"/>
  <c r="A10" i="27"/>
  <c r="A6" i="27"/>
  <c r="B9" i="27"/>
  <c r="B5" i="27"/>
  <c r="A9" i="27"/>
  <c r="A5" i="27"/>
  <c r="B4" i="27"/>
  <c r="A8" i="27"/>
  <c r="A4" i="27"/>
  <c r="B11" i="27"/>
  <c r="B7" i="27"/>
  <c r="B3" i="27"/>
  <c r="A11" i="27"/>
  <c r="A7" i="27"/>
  <c r="A3" i="27"/>
  <c r="A11" i="17"/>
  <c r="A4" i="17"/>
  <c r="B8" i="17"/>
  <c r="B11" i="17"/>
  <c r="A10" i="17"/>
  <c r="A2" i="17"/>
  <c r="B2" i="17"/>
  <c r="B5" i="17"/>
  <c r="B9" i="17"/>
  <c r="A6" i="17"/>
  <c r="B6" i="17"/>
  <c r="A12" i="27"/>
  <c r="A7" i="17"/>
  <c r="B3" i="17"/>
  <c r="B7" i="17"/>
  <c r="A8" i="17"/>
  <c r="A3" i="17"/>
  <c r="B4" i="17"/>
  <c r="A5" i="17"/>
  <c r="A9" i="17"/>
  <c r="B10" i="17"/>
  <c r="A12" i="17"/>
  <c r="B7" i="25"/>
  <c r="B10" i="25"/>
  <c r="B6" i="25"/>
  <c r="A10" i="25"/>
  <c r="A6" i="25"/>
  <c r="B9" i="25"/>
  <c r="B5" i="25"/>
  <c r="A9" i="25"/>
  <c r="A5" i="25"/>
  <c r="B8" i="25"/>
  <c r="B4" i="25"/>
  <c r="A8" i="25"/>
  <c r="A4" i="25"/>
  <c r="B11" i="25"/>
  <c r="B3" i="25"/>
  <c r="A11" i="25"/>
  <c r="A7" i="25"/>
  <c r="A3" i="25"/>
  <c r="B2" i="25"/>
  <c r="A2" i="25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7" i="23" a="1"/>
  <c r="B11" i="23" a="1"/>
  <c r="B3" i="23" a="1"/>
  <c r="A9" i="23" a="1"/>
  <c r="A11" i="23" a="1"/>
  <c r="A4" i="23" a="1"/>
  <c r="A8" i="23" a="1"/>
  <c r="B4" i="23" a="1"/>
  <c r="B5" i="23" a="1"/>
  <c r="B9" i="23" a="1"/>
  <c r="B6" i="23" a="1"/>
  <c r="B10" i="23" a="1"/>
  <c r="A6" i="23" a="1"/>
  <c r="B2" i="23" a="1"/>
  <c r="B7" i="23" a="1"/>
  <c r="A10" i="23" a="1"/>
  <c r="A5" i="23" a="1"/>
  <c r="A2" i="23" a="1"/>
  <c r="B8" i="23" a="1"/>
  <c r="A3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<sst xmlns="http://schemas.openxmlformats.org/spreadsheetml/2006/main" count="313" uniqueCount="125">
  <si>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</si>
  <si>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</si>
  <si>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</si>
  <si>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</si>
  <si>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</si>
  <si>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</si>
  <si>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</si>
  <si>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</si>
  <si>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</si>
  <si>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</si>
  <si>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</si>
  <si>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</si>
  <si>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</si>
  <si>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</si>
  <si>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</si>
  <si>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</si>
  <si>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</si>
  <si>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</si>
  <si>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</si>
  <si>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</si>
  <si>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</si>
  <si>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</si>
  <si>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</si>
  <si>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</si>
  <si>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</si>
  <si>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</si>
  <si>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</si>
  <si>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</si>
  <si>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</si>
  <si>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</si>
  <si>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</si>
  <si>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</si>
  <si>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</si>
  <si>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</si>
  <si>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</si>
  <si>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</si>
  <si>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</si>
  <si>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</si>
  <si>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</si>
  <si>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</si>
  <si>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</si>
  <si>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</si>
  <si>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</si>
  <si>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</si>
  <si>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</si>
  <si>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</si>
  <si>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</si>
  <si>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</si>
  <si>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</si>
  <si>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</si>
  <si>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</si>
  <si>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</si>
  <si>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</si>
  <si>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</si>
  <si>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</si>
  <si>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</si>
  <si>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</si>
  <si>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</si>
  <si>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</si>
  <si>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</si>
  <si>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</si>
  <si>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</si>
  <si>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</si>
  <si>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</si>
  <si>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</si>
  <si>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</si>
  <si>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</si>
  <si>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</si>
  <si>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</si>
  <si>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</si>
  <si>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</si>
  <si>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</si>
  <si>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</si>
  <si>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</si>
  <si>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</si>
  <si>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</si>
  <si>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</si>
  <si>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</si>
  <si>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</si>
  <si>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</si>
  <si>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</si>
  <si>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</si>
  <si>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</si>
  <si>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</si>
  <si>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</si>
  <si>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</si>
  <si>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</si>
  <si>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</si>
  <si>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</si>
  <si>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</si>
  <si>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</si>
  <si>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</si>
  <si>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</si>
  <si>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</si>
  <si>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</si>
  <si>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</si>
  <si>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</si>
  <si>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</si>
  <si>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</si>
  <si>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</si>
  <si>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</si>
  <si>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</si>
  <si>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</si>
  <si>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</si>
  <si>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</si>
  <si>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</si>
  <si>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</si>
  <si>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</si>
  <si>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</si>
  <si>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</si>
  <si>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</si>
  <si>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</si>
  <si>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</si>
  <si>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</si>
  <si>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</si>
  <si>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</si>
  <si>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</si>
  <si>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</si>
  <si>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</si>
  <si>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</si>
  <si>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</si>
  <si>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</si>
  <si>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</si>
  <si>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大阪府大阪市北区梅田3－1－1　グランﾌﾟロントOSAKA</t>
    <phoneticPr fontId="1"/>
  </si>
  <si>
    <t>千葉県千葉市中央区富士見2丁目3-10　チﾊﾟセンター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</si>
</sst>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  <xf numFmtId="0" fontId="2" fillId="6" borderId="0" xfId="0" applyFont="1" applyFill="1">
      <alignment vertical="center"/>
    </xf>
    <xf numFmtId="0" fontId="2" fillId="0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英数字の後に続く全角ハイフンや特殊な全角ハイフン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　　（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※【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注意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特殊なハイフンはいろいろあるので、この指示だけでは完璧な関数にはなりません。）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4182BE0-7BFF-A045-97A3-66DF6FDA672C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86EE1D28-452E-6443-AAFC-3F15EF250F37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355600</xdr:colOff>
      <xdr:row>9</xdr:row>
      <xdr:rowOff>241300</xdr:rowOff>
    </xdr:from>
    <xdr:to>
      <xdr:col>31</xdr:col>
      <xdr:colOff>393700</xdr:colOff>
      <xdr:row>18</xdr:row>
      <xdr:rowOff>228600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A275D6B-CA99-BE4E-B583-8011E14E0D81}"/>
            </a:ext>
          </a:extLst>
        </xdr:cNvPr>
        <xdr:cNvSpPr/>
      </xdr:nvSpPr>
      <xdr:spPr>
        <a:xfrm>
          <a:off x="18453100" y="25273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9BF0D7A-CA43-C246-8587-8CEDBDC686B0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C25EB95-34B3-2C4F-BF9E-1109F551D553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55EEE71-181D-A847-B391-E391F84AE487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BAAE9D63-07E5-294F-9808-2F975132EDAC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DD0CD0ED-CD29-E242-8EA8-1BFAF09CEABD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en-US" altLang="ja-JP" sz="3200" baseline="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半角英数字を**全角英数字にする。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6-3.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6-5.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6-6.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19</xdr:col>
      <xdr:colOff>190500</xdr:colOff>
      <xdr:row>9</xdr:row>
      <xdr:rowOff>139700</xdr:rowOff>
    </xdr:from>
    <xdr:to>
      <xdr:col>31</xdr:col>
      <xdr:colOff>228600</xdr:colOff>
      <xdr:row>18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B1E27FEE-F8B1-3442-95AA-24539FA0BB31}"/>
            </a:ext>
          </a:extLst>
        </xdr:cNvPr>
        <xdr:cNvSpPr/>
      </xdr:nvSpPr>
      <xdr:spPr>
        <a:xfrm>
          <a:off x="18288000" y="2425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407736</xdr:colOff>
      <xdr:row>7</xdr:row>
      <xdr:rowOff>66842</xdr:rowOff>
    </xdr:from>
    <xdr:to>
      <xdr:col>3</xdr:col>
      <xdr:colOff>113632</xdr:colOff>
      <xdr:row>12</xdr:row>
      <xdr:rowOff>107614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2497D78-2B64-F74F-ADED-04DA83EA3AEF}"/>
            </a:ext>
          </a:extLst>
        </xdr:cNvPr>
        <xdr:cNvSpPr/>
      </xdr:nvSpPr>
      <xdr:spPr>
        <a:xfrm>
          <a:off x="5414210" y="2787316"/>
          <a:ext cx="6944896" cy="1658351"/>
        </a:xfrm>
        <a:prstGeom prst="rect">
          <a:avLst/>
        </a:prstGeom>
        <a:solidFill>
          <a:srgbClr val="FFC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半角カタカナ→全角カタカナ変換で、</a:t>
          </a:r>
          <a:endParaRPr kumimoji="1" lang="en-US" altLang="ja-JP" sz="2000" kern="1200">
            <a:solidFill>
              <a:schemeClr val="tx1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pPr algn="l"/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濁点・半濁点付き半角カタカナの変換がうまく行かないので１変換づづ</a:t>
          </a:r>
          <a:r>
            <a:rPr kumimoji="1" lang="en-US" altLang="ja-JP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module6</a:t>
          </a:r>
          <a:r>
            <a:rPr kumimoji="1" lang="ja-JP" altLang="en-US" sz="2000" kern="1200">
              <a:solidFill>
                <a:schemeClr val="tx1"/>
              </a:solidFill>
              <a:latin typeface="Meiryo" panose="020B0604030504040204" pitchFamily="34" charset="-128"/>
              <a:ea typeface="Meiryo" panose="020B0604030504040204" pitchFamily="34" charset="-128"/>
            </a:rPr>
            <a:t>で組み立てていく。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opLeftCell="A6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workbookViewId="1">
      <selection activeCell="AD38" sqref="AD38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34C73-0B63-9541-9130-820092DE976F}">
  <sheetPr codeName="Sheet19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DAE5EC-4158-084E-BDAB-6D157CAECA64}">
  <sheetPr codeName="Sheet22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00659-210D-5A4F-AE18-D90391DD767B}">
  <sheetPr codeName="Sheet23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1BAE87-DBC2-5142-AF09-DEC29C9B9B90}">
  <sheetPr codeName="Sheet24">
    <tabColor theme="4"/>
  </sheetPr>
  <dimension ref="A1"/>
  <sheetViews>
    <sheetView workbookViewId="0">
      <selection activeCell="B29" sqref="B29"/>
    </sheetView>
    <sheetView tabSelected="1"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109A0-C48D-EC4E-89D4-0C3681CD5768}">
  <sheetPr codeName="Sheet15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4" sqref="A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zoomScale="200" zoomScaleNormal="200" workbookViewId="0"/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aca="1" ref="A2" ca="1">_xlfn.TEXTJOIN("",TRUE,IF((MID(C2,ROW(INDIRECT("1:"&amp;LEN(C2))),1)="－")+(MID(C2,ROW(INDIRECT("1:"&amp;LEN(C2))),1)="ー")*(ISNUMBER(FIND(MID(C2,ROW(INDIRECT("1:"&amp;LEN(C2)))-1,1),"0123456789ABCDEFGHIJKLMNOPQRSTUVWXYZabcdefghijklmnopqrstuvwxyz"))),"-",MID(C2,ROW(INDIRECT("1:"&amp;LEN(C2))),1)))</f>
        <v>東京都新宿区西新宿2丁目8-1　SHINJUKUタワー</v>
      </c>
      <c r="B2" s="4" t="str" cm="1">
        <f t="array" aca="1" ref="B2" ca="1">_xlfn.TEXTJOIN("",TRUE,IF((MID(D2,ROW(INDIRECT("1:"&amp;LEN(D2))),1)="－")+(MID(D2,ROW(INDIRECT("1:"&amp;LEN(D2))),1)="ー")*(ISNUMBER(FIND(MID(D2,ROW(INDIRECT("1:"&amp;LEN(D2)))-1,1),"0123456789ABCDEFGHIJKLMNOPQRSTUVWXYZabcdefghijklmnopqrstuvwxyz"))),"-",MID(D2,ROW(INDIRECT("1:"&amp;LEN(D2)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aca="1" ref="A3" ca="1">_xlfn.TEXTJOIN("",TRUE,IF((MID(C3,ROW(INDIRECT("1:"&amp;LEN(C3))),1)="－")+(MID(C3,ROW(INDIRECT("1:"&amp;LEN(C3))),1)="ー")*(ISNUMBER(FIND(MID(C3,ROW(INDIRECT("1:"&amp;LEN(C3)))-1,1),"0123456789ABCDEFGHIJKLMNOPQRSTUVWXYZabcdefghijklmnopqrstuvwxyz"))),"-",MID(C3,ROW(INDIRECT("1:"&amp;LEN(C3))),1)))</f>
        <v>北海道札幌市中央区北3条西2丁目1番地　ホッカイドウビル</v>
      </c>
      <c r="B3" s="4" t="str" cm="1">
        <f t="array" aca="1" ref="B3" ca="1">_xlfn.TEXTJOIN("",TRUE,IF((MID(D3,ROW(INDIRECT("1:"&amp;LEN(D3))),1)="－")+(MID(D3,ROW(INDIRECT("1:"&amp;LEN(D3))),1)="ー")*(ISNUMBER(FIND(MID(D3,ROW(INDIRECT("1:"&amp;LEN(D3)))-1,1),"0123456789ABCDEFGHIJKLMNOPQRSTUVWXYZabcdefghijklmnopqrstuvwxyz"))),"-",MID(D3,ROW(INDIRECT("1:"&amp;LEN(D3)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aca="1" ref="A4" ca="1">_xlfn.TEXTJOIN("",TRUE,IF((MID(C4,ROW(INDIRECT("1:"&amp;LEN(C4))),1)="－")+(MID(C4,ROW(INDIRECT("1:"&amp;LEN(C4))),1)="ー")*(ISNUMBER(FIND(MID(C4,ROW(INDIRECT("1:"&amp;LEN(C4)))-1,1),"0123456789ABCDEFGHIJKLMNOPQRSTUVWXYZabcdefghijklmnopqrstuvwxyz"))),"-",MID(C4,ROW(INDIRECT("1:"&amp;LEN(C4))),1)))</f>
        <v>大阪府大阪市北区梅田3-1-1　グランフロントOSAKA</v>
      </c>
      <c r="B4" s="4" t="str" cm="1">
        <f t="array" aca="1" ref="B4" ca="1">_xlfn.TEXTJOIN("",TRUE,IF((MID(D4,ROW(INDIRECT("1:"&amp;LEN(D4))),1)="－")+(MID(D4,ROW(INDIRECT("1:"&amp;LEN(D4))),1)="ー")*(ISNUMBER(FIND(MID(D4,ROW(INDIRECT("1:"&amp;LEN(D4)))-1,1),"0123456789ABCDEFGHIJKLMNOPQRSTUVWXYZabcdefghijklmnopqrstuvwxyz"))),"-",MID(D4,ROW(INDIRECT("1:"&amp;LEN(D4))),1)))</f>
        <v>06-6578-1234</v>
      </c>
      <c r="C4" s="2" t="s">
        <v>110</v>
      </c>
      <c r="D4" s="2" t="s">
        <v>111</v>
      </c>
    </row>
    <row r="5" spans="1:5" ht="27" customHeight="1">
      <c r="A5" s="12" t="str" cm="1">
        <f t="array" aca="1" ref="A5" ca="1">_xlfn.TEXTJOIN("",TRUE,IF((MID(C5,ROW(INDIRECT("1:"&amp;LEN(C5))),1)="－")+(MID(C5,ROW(INDIRECT("1:"&amp;LEN(C5))),1)="ー")*(ISNUMBER(FIND(MID(C5,ROW(INDIRECT("1:"&amp;LEN(C5)))-1,1),"0123456789ABCDEFGHIJKLMNOPQRSTUVWXYZabcdefghijklmnopqrstuvwxyz"))),"-",MID(C5,ROW(INDIRECT("1:"&amp;LEN(C5))),1)))</f>
        <v>福岡市博多区博多駅前1-1-1　タワーハカタ</v>
      </c>
      <c r="B5" s="12" t="str" cm="1">
        <f t="array" aca="1" ref="B5" ca="1">_xlfn.TEXTJOIN("",TRUE,IF((MID(D5,ROW(INDIRECT("1:"&amp;LEN(D5))),1)="－")+(MID(D5,ROW(INDIRECT("1:"&amp;LEN(D5))),1)="ー")*(ISNUMBER(FIND(MID(D5,ROW(INDIRECT("1:"&amp;LEN(D5)))-1,1),"0123456789ABCDEFGHIJKLMNOPQRSTUVWXYZabcdefghijklmnopqrstuvwxyz"))),"-",MID(D5,ROW(INDIRECT("1:"&amp;LEN(D5))),1)))</f>
        <v>092-234-1234</v>
      </c>
      <c r="C5" s="11" t="s">
        <v>121</v>
      </c>
      <c r="D5" s="11" t="s">
        <v>112</v>
      </c>
    </row>
    <row r="6" spans="1:5" ht="27" customHeight="1">
      <c r="A6" s="4" t="str" cm="1">
        <f t="array" aca="1" ref="A6" ca="1">_xlfn.TEXTJOIN("",TRUE,IF((MID(C6,ROW(INDIRECT("1:"&amp;LEN(C6))),1)="－")+(MID(C6,ROW(INDIRECT("1:"&amp;LEN(C6))),1)="ー")*(ISNUMBER(FIND(MID(C6,ROW(INDIRECT("1:"&amp;LEN(C6)))-1,1),"0123456789ABCDEFGHIJKLMNOPQRSTUVWXYZabcdefghijklmnopqrstuvwxyz"))),"-",MID(C6,ROW(INDIRECT("1:"&amp;LEN(C6))),1)))</f>
        <v>神奈川県横浜市西区みなとみらい3-5-1　ヨコハマビル</v>
      </c>
      <c r="B6" s="4" t="str" cm="1">
        <f t="array" aca="1" ref="B6" ca="1">_xlfn.TEXTJOIN("",TRUE,IF((MID(D6,ROW(INDIRECT("1:"&amp;LEN(D6))),1)="－")+(MID(D6,ROW(INDIRECT("1:"&amp;LEN(D6))),1)="ー")*(ISNUMBER(FIND(MID(D6,ROW(INDIRECT("1:"&amp;LEN(D6)))-1,1),"0123456789ABCDEFGHIJKLMNOPQRSTUVWXYZabcdefghijklmnopqrstuvwxyz"))),"-",MID(D6,ROW(INDIRECT("1:"&amp;LEN(D6)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aca="1" ref="A7" ca="1">_xlfn.TEXTJOIN("",TRUE,IF((MID(C7,ROW(INDIRECT("1:"&amp;LEN(C7))),1)="－")+(MID(C7,ROW(INDIRECT("1:"&amp;LEN(C7))),1)="ー")*(ISNUMBER(FIND(MID(C7,ROW(INDIRECT("1:"&amp;LEN(C7)))-1,1),"0123456789ABCDEFGHIJKLMNOPQRSTUVWXYZabcdefghijklmnopqrstuvwxyz"))),"-",MID(C7,ROW(INDIRECT("1:"&amp;LEN(C7))),1)))</f>
        <v>名古屋市中区錦1-1-1　ナゴヤグランドタワーナゴヤ</v>
      </c>
      <c r="B7" s="4" t="str" cm="1">
        <f t="array" aca="1" ref="B7" ca="1">_xlfn.TEXTJOIN("",TRUE,IF((MID(D7,ROW(INDIRECT("1:"&amp;LEN(D7))),1)="－")+(MID(D7,ROW(INDIRECT("1:"&amp;LEN(D7))),1)="ー")*(ISNUMBER(FIND(MID(D7,ROW(INDIRECT("1:"&amp;LEN(D7)))-1,1),"0123456789ABCDEFGHIJKLMNOPQRSTUVWXYZabcdefghijklmnopqrstuvwxyz"))),"-",MID(D7,ROW(INDIRECT("1:"&amp;LEN(D7)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aca="1" ref="A8" ca="1">_xlfn.TEXTJOIN("",TRUE,IF((MID(C8,ROW(INDIRECT("1:"&amp;LEN(C8))),1)="－")+(MID(C8,ROW(INDIRECT("1:"&amp;LEN(C8))),1)="ー")*(ISNUMBER(FIND(MID(C8,ROW(INDIRECT("1:"&amp;LEN(C8)))-1,1),"0123456789ABCDEFGHIJKLMNOPQRSTUVWXYZabcdefghijklmnopqrstuvwxyz"))),"-",MID(C8,ROW(INDIRECT("1:"&amp;LEN(C8))),1)))</f>
        <v>さいたま市大宮区桜木町1丁目1番地1号　OMIYA　PLAZA</v>
      </c>
      <c r="B8" s="4" t="str" cm="1">
        <f t="array" aca="1" ref="B8" ca="1">_xlfn.TEXTJOIN("",TRUE,IF((MID(D8,ROW(INDIRECT("1:"&amp;LEN(D8))),1)="－")+(MID(D8,ROW(INDIRECT("1:"&amp;LEN(D8))),1)="ー")*(ISNUMBER(FIND(MID(D8,ROW(INDIRECT("1:"&amp;LEN(D8)))-1,1),"0123456789ABCDEFGHIJKLMNOPQRSTUVWXYZabcdefghijklmnopqrstuvwxyz"))),"-",MID(D8,ROW(INDIRECT("1:"&amp;LEN(D8)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aca="1" ref="A9" ca="1">_xlfn.TEXTJOIN("",TRUE,IF((MID(C9,ROW(INDIRECT("1:"&amp;LEN(C9))),1)="－")+(MID(C9,ROW(INDIRECT("1:"&amp;LEN(C9))),1)="ー")*(ISNUMBER(FIND(MID(C9,ROW(INDIRECT("1:"&amp;LEN(C9)))-1,1),"0123456789ABCDEFGHIJKLMNOPQRSTUVWXYZabcdefghijklmnopqrstuvwxyz"))),"-",MID(C9,ROW(INDIRECT("1:"&amp;LEN(C9))),1)))</f>
        <v>千葉県千葉市中央区富士見2丁目3-10　チバセンター</v>
      </c>
      <c r="B9" s="12" t="str" cm="1">
        <f t="array" aca="1" ref="B9" ca="1">_xlfn.TEXTJOIN("",TRUE,IF((MID(D9,ROW(INDIRECT("1:"&amp;LEN(D9))),1)="－")+(MID(D9,ROW(INDIRECT("1:"&amp;LEN(D9))),1)="ー")*(ISNUMBER(FIND(MID(D9,ROW(INDIRECT("1:"&amp;LEN(D9)))-1,1),"0123456789ABCDEFGHIJKLMNOPQRSTUVWXYZabcdefghijklmnopqrstuvwxyz"))),"-",MID(D9,ROW(INDIRECT("1:"&amp;LEN(D9))),1)))</f>
        <v>043-123-4567</v>
      </c>
      <c r="C9" s="2" t="s">
        <v>118</v>
      </c>
      <c r="D9" s="11" t="s">
        <v>119</v>
      </c>
    </row>
    <row r="10" spans="1:5" ht="27" customHeight="1">
      <c r="A10" s="4" t="str" cm="1">
        <f t="array" aca="1" ref="A10" ca="1">_xlfn.TEXTJOIN("",TRUE,IF((MID(C10,ROW(INDIRECT("1:"&amp;LEN(C10))),1)="－")+(MID(C10,ROW(INDIRECT("1:"&amp;LEN(C10))),1)="ー")*(ISNUMBER(FIND(MID(C10,ROW(INDIRECT("1:"&amp;LEN(C10)))-1,1),"0123456789ABCDEFGHIJKLMNOPQRSTUVWXYZabcdefghijklmnopqrstuvwxyz"))),"-",MID(C10,ROW(INDIRECT("1:"&amp;LEN(C10))),1)))</f>
        <v>京都府京都市下京区四条通烏丸東入長刀鉾町　キョウトビルディング</v>
      </c>
      <c r="B10" s="4" t="str" cm="1">
        <f t="array" aca="1" ref="B10" ca="1">_xlfn.TEXTJOIN("",TRUE,IF((MID(D10,ROW(INDIRECT("1:"&amp;LEN(D10))),1)="－")+(MID(D10,ROW(INDIRECT("1:"&amp;LEN(D10))),1)="ー")*(ISNUMBER(FIND(MID(D10,ROW(INDIRECT("1:"&amp;LEN(D10)))-1,1),"0123456789ABCDEFGHIJKLMNOPQRSTUVWXYZabcdefghijklmnopqrstuvwxyz"))),"-",MID(D10,ROW(INDIRECT("1:"&amp;LEN(D10)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aca="1" ref="A11" ca="1">_xlfn.TEXTJOIN("",TRUE,IF((MID(C11,ROW(INDIRECT("1:"&amp;LEN(C11))),1)="－")+(MID(C11,ROW(INDIRECT("1:"&amp;LEN(C11))),1)="ー")*(ISNUMBER(FIND(MID(C11,ROW(INDIRECT("1:"&amp;LEN(C11)))-1,1),"0123456789ABCDEFGHIJKLMNOPQRSTUVWXYZabcdefghijklmnopqrstuvwxyz"))),"-",MID(C11,ROW(INDIRECT("1:"&amp;LEN(C11))),1)))</f>
        <v>広島県広島市中区紙屋町2丁目2番15号　ヒロシマタワー</v>
      </c>
      <c r="B11" s="4" t="str" cm="1">
        <f t="array" aca="1" ref="B11" ca="1">_xlfn.TEXTJOIN("",TRUE,IF((MID(D11,ROW(INDIRECT("1:"&amp;LEN(D11))),1)="－")+(MID(D11,ROW(INDIRECT("1:"&amp;LEN(D11))),1)="ー")*(ISNUMBER(FIND(MID(D11,ROW(INDIRECT("1:"&amp;LEN(D11)))-1,1),"0123456789ABCDEFGHIJKLMNOPQRSTUVWXYZabcdefghijklmnopqrstuvwxyz"))),"-",MID(D11,ROW(INDIRECT("1:"&amp;LEN(D11)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D12"/>
  <sheetViews>
    <sheetView zoomScale="190" zoomScaleNormal="190" workbookViewId="0">
      <selection activeCell="A3" sqref="A3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</row>
    <row r="3" spans="1:4" ht="27" customHeight="1">
      <c r="A3" s="11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011ー234ー5678</v>
      </c>
      <c r="C3" s="2" t="s">
        <v>73</v>
      </c>
      <c r="D3" s="2" t="s">
        <v>122</v>
      </c>
    </row>
    <row r="4" spans="1:4" ht="27" customHeight="1">
      <c r="A4" s="11" t="str" cm="1">
        <f t="array" ref="A4">NormalizeJapaneseText(C4)</f>
        <v>大阪府大阪市北区梅田3ー1ー1 グランブﾟロントOSAKA</v>
      </c>
      <c r="B4" s="4" t="str" cm="1">
        <f t="array" ref="B4">NormalizeJapaneseText(D4)</f>
        <v>06-6578-1234</v>
      </c>
      <c r="C4" s="2" t="s">
        <v>123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11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チバﾟセンター</v>
      </c>
      <c r="B9" s="4" t="str" cm="1">
        <f t="array" ref="B9">NormalizeJapaneseText(D9)</f>
        <v>043ー123ー4567</v>
      </c>
      <c r="C9" s="2" t="s">
        <v>124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  <row r="12" spans="1:4">
      <c r="A12" s="13" t="str" cm="1">
        <f t="array" ref="A12">NormalizeJapaneseText(C12)</f>
        <v/>
      </c>
    </row>
  </sheetData>
  <phoneticPr fontId="1"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31A03A-37E8-2F4E-B43B-C2575B8B8337}">
  <sheetPr codeName="Sheet21">
    <tabColor rgb="FFFFFF00"/>
  </sheetPr>
  <dimension ref="A1:D12"/>
  <sheetViews>
    <sheetView tabSelected="1" zoomScale="190" zoomScaleNormal="190" workbookViewId="0">
      <selection activeCell="B4" sqref="B4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e" cm="1">
        <f t="array" ref="A2">NormalizeText(C2)</f>
        <v>#VALUE!</v>
      </c>
      <c r="B2" s="4" t="e" cm="1">
        <f t="array" ref="B2">NormalizeText(D2)</f>
        <v>#VALUE!</v>
      </c>
      <c r="C2" s="2" t="s">
        <v>90</v>
      </c>
      <c r="D2" s="2" t="s">
        <v>8</v>
      </c>
    </row>
    <row r="3" spans="1:4" ht="27" customHeight="1">
      <c r="A3" s="4" t="str" cm="1">
        <f t="array" ref="A3">NormalizeText(C3)</f>
        <v>北海道札幌市中央区北３条西２丁目１番地　ホッカイドウビル</v>
      </c>
      <c r="B3" s="4" t="str" cm="1">
        <f t="array" ref="B3">NormalizeText(D3)</f>
        <v>０１１ー２３４ー５６７８</v>
      </c>
      <c r="C3" s="2" t="s">
        <v>73</v>
      </c>
      <c r="D3" s="2" t="s">
        <v>122</v>
      </c>
    </row>
    <row r="4" spans="1:4" ht="27" customHeight="1">
      <c r="A4" s="4" t="str" cm="1">
        <f t="array" ref="A4">NormalizeText(C4)</f>
        <v>大阪府大阪市北区梅田３ー１ー１　グランプロントＯＳＡＫＡ</v>
      </c>
      <c r="B4" s="4" t="str" cm="1">
        <f t="array" ref="B4">NormalizeText(D4)</f>
        <v>０６ー６５７８ー１２３４</v>
      </c>
      <c r="C4" s="2" t="s">
        <v>123</v>
      </c>
      <c r="D4" s="2" t="s">
        <v>10</v>
      </c>
    </row>
    <row r="5" spans="1:4" ht="27" customHeight="1">
      <c r="A5" s="4" t="str" cm="1">
        <f t="array" ref="A5">NormalizeText(C5)</f>
        <v>福岡市博多区博多駅前１ー１ー１　タワーハカタ</v>
      </c>
      <c r="B5" s="4" t="str" cm="1">
        <f t="array" ref="B5">NormalizeText(D5)</f>
        <v>０９２ー２３４ー１２３４</v>
      </c>
      <c r="C5" s="2" t="s">
        <v>2</v>
      </c>
      <c r="D5" s="2" t="s">
        <v>11</v>
      </c>
    </row>
    <row r="6" spans="1:4" ht="27" customHeight="1">
      <c r="A6" s="4" t="str" cm="1">
        <f t="array" ref="A6">NormalizeText(C6)</f>
        <v>神奈川県横浜市西区みなとみらい３ー５ー１　ヨコハマビル</v>
      </c>
      <c r="B6" s="4" t="str" cm="1">
        <f t="array" ref="B6">NormalizeText(D6)</f>
        <v>０４５ー１２３４ー５６７８</v>
      </c>
      <c r="C6" s="2" t="s">
        <v>91</v>
      </c>
      <c r="D6" s="2" t="s">
        <v>12</v>
      </c>
    </row>
    <row r="7" spans="1:4" ht="27" customHeight="1">
      <c r="A7" s="4" t="str" cm="1">
        <f t="array" ref="A7">NormalizeText(C7)</f>
        <v>名古屋市中区錦１ー１ー１　ナゴヤグランドタワーナゴヤ</v>
      </c>
      <c r="B7" s="4" t="str" cm="1">
        <f t="array" ref="B7">NormalizeText(D7)</f>
        <v>０５２ー１２３４ー５６７８</v>
      </c>
      <c r="C7" s="2" t="s">
        <v>20</v>
      </c>
      <c r="D7" s="2" t="s">
        <v>13</v>
      </c>
    </row>
    <row r="8" spans="1:4" ht="27" customHeight="1">
      <c r="A8" s="4" t="str" cm="1">
        <f t="array" ref="A8">NormalizeText(C8)</f>
        <v>さいたま市大宮区桜木町１丁目１番地１号　ＯＭＩＹＡ ＰＬＡＺＡ</v>
      </c>
      <c r="B8" s="4" t="str" cm="1">
        <f t="array" ref="B8">NormalizeText(D8)</f>
        <v>０４８ー９８７６ー１２３４</v>
      </c>
      <c r="C8" s="2" t="s">
        <v>4</v>
      </c>
      <c r="D8" s="2" t="s">
        <v>14</v>
      </c>
    </row>
    <row r="9" spans="1:4" ht="27" customHeight="1">
      <c r="A9" s="4" t="str" cm="1">
        <f t="array" ref="A9">NormalizeText(C9)</f>
        <v>千葉県千葉市中央区富士見２丁目３ー１０　チパセンター</v>
      </c>
      <c r="B9" s="4" t="str" cm="1">
        <f t="array" ref="B9">NormalizeText(D9)</f>
        <v>０４３ー１２３ー４５６７</v>
      </c>
      <c r="C9" s="2" t="s">
        <v>124</v>
      </c>
      <c r="D9" s="2" t="s">
        <v>15</v>
      </c>
    </row>
    <row r="10" spans="1:4" ht="27" customHeight="1">
      <c r="A10" s="4" t="str" cm="1">
        <f t="array" ref="A10">NormalizeText(C10)</f>
        <v>京都府京都市下京区四条通烏丸東入長刀鉾町　キョウトビルディング</v>
      </c>
      <c r="B10" s="4" t="str" cm="1">
        <f t="array" ref="B10">NormalizeText(D10)</f>
        <v>０７５ー２３４ー５６７８</v>
      </c>
      <c r="C10" s="2" t="s">
        <v>75</v>
      </c>
      <c r="D10" s="2" t="s">
        <v>16</v>
      </c>
    </row>
    <row r="11" spans="1:4" ht="27" customHeight="1">
      <c r="A11" s="4" t="str" cm="1">
        <f t="array" ref="A11">NormalizeText(C11)</f>
        <v>広島県広島市中区紙屋町２丁目２番１５号　ヒロシマタワー</v>
      </c>
      <c r="B11" s="4" t="str" cm="1">
        <f t="array" ref="B11">NormalizeText(D11)</f>
        <v>０８２ー５６７８ー１２３４</v>
      </c>
      <c r="C11" s="2" t="s">
        <v>5</v>
      </c>
      <c r="D11" s="2" t="s">
        <v>17</v>
      </c>
    </row>
    <row r="12" spans="1:4">
      <c r="A12" s="13" t="str" cm="1">
        <f t="array" ref="A12">NormalizeJapaneseText(C12)</f>
        <v/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86</v>
      </c>
      <c r="D2" s="2" t="s">
        <v>8</v>
      </c>
    </row>
    <row r="3" spans="1:4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011-234ー5678</v>
      </c>
      <c r="C3" s="2" t="s">
        <v>87</v>
      </c>
      <c r="D3" s="2" t="s">
        <v>89</v>
      </c>
    </row>
    <row r="4" spans="1:4" ht="27" customHeight="1">
      <c r="A4" s="4" t="str" cm="1">
        <f t="array" ref="A4">NormalizeJapaneseText(C4)</f>
        <v>大阪府大阪市北区梅田3ー1ー1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4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4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3</v>
      </c>
      <c r="D6" s="2" t="s">
        <v>12</v>
      </c>
    </row>
    <row r="7" spans="1:4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052ー1234ー5678</v>
      </c>
      <c r="C7" s="2" t="s">
        <v>20</v>
      </c>
      <c r="D7" s="2" t="s">
        <v>13</v>
      </c>
    </row>
    <row r="8" spans="1:4" ht="27" customHeight="1">
      <c r="A8" s="4" t="str" cm="1">
        <f t="array" ref="A8">NormalizeJapaneseText(C8)</f>
        <v>さいたま市大宮区桜木町1丁目1番地1111955号 OMIYA PLAZA</v>
      </c>
      <c r="B8" s="4" t="str" cm="1">
        <f t="array" ref="B8">NormalizeJapaneseText(D8)</f>
        <v>048-9876-1234</v>
      </c>
      <c r="C8" s="2" t="s">
        <v>88</v>
      </c>
      <c r="D8" s="2" t="s">
        <v>14</v>
      </c>
    </row>
    <row r="9" spans="1:4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4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4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082ー5678ー1234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24</vt:i4>
      </vt:variant>
    </vt:vector>
  </HeadingPairs>
  <TitlesOfParts>
    <vt:vector size="24" baseType="lpstr">
      <vt:lpstr>P1_都道府県削除</vt:lpstr>
      <vt:lpstr>P２_都道府県削除</vt:lpstr>
      <vt:lpstr>P３_都道府県削除</vt:lpstr>
      <vt:lpstr>P4_全角半角</vt:lpstr>
      <vt:lpstr>P5_全角半角</vt:lpstr>
      <vt:lpstr>P6-1_全角半角</vt:lpstr>
      <vt:lpstr>P6-2_全角半角</vt:lpstr>
      <vt:lpstr>P6-3_全角半角</vt:lpstr>
      <vt:lpstr>P6-4_全角半角</vt:lpstr>
      <vt:lpstr>P6-_全角半角</vt:lpstr>
      <vt:lpstr>P6_全角半角</vt:lpstr>
      <vt:lpstr>P7_マージ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2025-01-27T14:00:33Z</dcterms:modified>
</cp:coreProperties>
</file>