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i-sasaki/Desktop/★★★S_作業場所/sjGitHub/250120_YouTube/"/>
    </mc:Choice>
  </mc:AlternateContent>
  <xr:revisionPtr revIDLastSave="0" documentId="13_ncr:1_{A52F3F32-A68B-BF4A-A208-3F0CF6B3A086}" xr6:coauthVersionLast="47" xr6:coauthVersionMax="47" xr10:uidLastSave="{00000000-0000-0000-0000-000000000000}"/>
  <bookViews>
    <workbookView xWindow="0" yWindow="9160" windowWidth="51060" windowHeight="19460" firstSheet="2" activeTab="20" xr2:uid="{B81BA0A3-71F8-624E-A3D5-0115DDCF4DDD}"/>
    <workbookView xWindow="20" yWindow="500" windowWidth="51180" windowHeight="20520" activeTab="8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-1_全角半角" sheetId="29" r:id="rId6"/>
    <sheet name="P6-2_全角半角" sheetId="31" r:id="rId7"/>
    <sheet name="P6-3_全角半角" sheetId="32" r:id="rId8"/>
    <sheet name="P6-4_全角半角" sheetId="35" r:id="rId9"/>
    <sheet name="P6-_全角半角" sheetId="34" r:id="rId10"/>
    <sheet name="P7_全角半角" sheetId="6" r:id="rId11"/>
    <sheet name="P8_マージ" sheetId="7" r:id="rId12"/>
    <sheet name="module (1)" sheetId="9" r:id="rId13"/>
    <sheet name="module (2)" sheetId="14" r:id="rId14"/>
    <sheet name="module (3)" sheetId="15" r:id="rId15"/>
    <sheet name="module (4-1)" sheetId="16" r:id="rId16"/>
    <sheet name="module (4-2)" sheetId="22" r:id="rId17"/>
    <sheet name="module (4-3) " sheetId="25" r:id="rId18"/>
    <sheet name="module (5)" sheetId="17" r:id="rId19"/>
    <sheet name="module (6-3)" sheetId="27" r:id="rId20"/>
    <sheet name="module (6-4)" sheetId="38" r:id="rId21"/>
    <sheet name="module (7)" sheetId="19" r:id="rId22"/>
    <sheet name="module (8)" sheetId="23" r:id="rId23"/>
    <sheet name="module (9)" sheetId="36" r:id="rId24"/>
    <sheet name="module (10)" sheetId="37" r:id="rId25"/>
    <sheet name="方針0" sheetId="20" r:id="rId26"/>
    <sheet name="方針1" sheetId="21" r:id="rId27"/>
  </sheets>
  <functionGroups builtInGroupCount="19"/>
  <definedNames>
    <definedName name="_xleta.AND" hidden="1" xlm="1">#NAME?</definedName>
    <definedName name="_xleta.ASC" hidden="1" xlm="1">#NAME?</definedName>
    <definedName name="_xlpm.chars" hidden="1" xlm="1">#NAME?</definedName>
    <definedName name="_xlpm.codes" hidden="1" xlm="1">#NAME?</definedName>
    <definedName name="_xlpm.isAlnum" hidden="1" xlm="1">#NAME?</definedName>
    <definedName name="_xlpm.isHyphen" hidden="1" xlm="1">#NAME?</definedName>
    <definedName name="_xlpm.len" hidden="1" xlm="1">#NAME?</definedName>
    <definedName name="_xlpm.result" hidden="1" xlm="1">#NAME?</definedName>
    <definedName name="_xlpm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38" l="1" a="1"/>
  <c r="B5" i="38" a="1"/>
  <c r="A8" i="38" a="1"/>
  <c r="B10" i="38" a="1"/>
  <c r="A11" i="38" a="1"/>
  <c r="A9" i="38" a="1"/>
  <c r="A10" i="38" a="1"/>
  <c r="B3" i="38" a="1"/>
  <c r="A6" i="38" a="1"/>
  <c r="B8" i="38" a="1"/>
  <c r="B6" i="38" a="1"/>
  <c r="B11" i="38" a="1"/>
  <c r="A4" i="38" a="1"/>
  <c r="B4" i="38" a="1"/>
  <c r="A7" i="38" a="1"/>
  <c r="B9" i="38" a="1"/>
  <c r="A5" i="38" a="1"/>
  <c r="B7" i="38" a="1"/>
  <c r="B2" i="38" a="1"/>
  <c r="A2" i="38" a="1"/>
  <c r="A3" i="27" a="1"/>
  <c r="B5" i="27" a="1"/>
  <c r="A8" i="27" a="1"/>
  <c r="B10" i="27" a="1"/>
  <c r="B3" i="27" a="1"/>
  <c r="B8" i="27" a="1"/>
  <c r="A11" i="27" a="1"/>
  <c r="A4" i="27" a="1"/>
  <c r="B6" i="27" a="1"/>
  <c r="A9" i="27" a="1"/>
  <c r="B11" i="27" a="1"/>
  <c r="A7" i="27" a="1"/>
  <c r="B9" i="27" a="1"/>
  <c r="A5" i="27" a="1"/>
  <c r="A10" i="27" a="1"/>
  <c r="A6" i="27" a="1"/>
  <c r="B4" i="27" a="1"/>
  <c r="B7" i="27" a="1"/>
  <c r="B2" i="27" a="1"/>
  <c r="A2" i="27" a="1"/>
  <c r="A12" i="38" a="1"/>
  <c r="A3" i="37" a="1"/>
  <c r="B5" i="37" a="1"/>
  <c r="A8" i="37" a="1"/>
  <c r="B10" i="37" a="1"/>
  <c r="A6" i="37" a="1"/>
  <c r="B8" i="37" a="1"/>
  <c r="A4" i="37" a="1"/>
  <c r="B6" i="37" a="1"/>
  <c r="A9" i="37" a="1"/>
  <c r="B11" i="37" a="1"/>
  <c r="B4" i="37" a="1"/>
  <c r="B9" i="37" a="1"/>
  <c r="A10" i="37" a="1"/>
  <c r="A11" i="37" a="1"/>
  <c r="A7" i="37" a="1"/>
  <c r="A5" i="37" a="1"/>
  <c r="B3" i="37" a="1"/>
  <c r="B7" i="37" a="1"/>
  <c r="B2" i="37" a="1"/>
  <c r="B7" i="38" l="1"/>
  <c r="A5" i="38"/>
  <c r="B9" i="38"/>
  <c r="A7" i="38"/>
  <c r="B4" i="38"/>
  <c r="A4" i="38"/>
  <c r="B11" i="38"/>
  <c r="B6" i="38"/>
  <c r="B8" i="38"/>
  <c r="A6" i="38"/>
  <c r="B3" i="38"/>
  <c r="A10" i="38"/>
  <c r="A9" i="38"/>
  <c r="A11" i="38"/>
  <c r="B10" i="38"/>
  <c r="A8" i="38"/>
  <c r="B5" i="38"/>
  <c r="A3" i="38"/>
  <c r="B2" i="38"/>
  <c r="A2" i="38"/>
  <c r="B7" i="27"/>
  <c r="B4" i="27"/>
  <c r="A6" i="27"/>
  <c r="A10" i="27"/>
  <c r="A5" i="27"/>
  <c r="B9" i="27"/>
  <c r="A7" i="27"/>
  <c r="B11" i="27"/>
  <c r="A9" i="27"/>
  <c r="B6" i="27"/>
  <c r="A4" i="27"/>
  <c r="A11" i="27"/>
  <c r="B8" i="27"/>
  <c r="B3" i="27"/>
  <c r="B10" i="27"/>
  <c r="A8" i="27"/>
  <c r="B5" i="27"/>
  <c r="A3" i="27"/>
  <c r="B2" i="27"/>
  <c r="A2" i="27"/>
  <c r="A12" i="38"/>
  <c r="B7" i="37"/>
  <c r="B3" i="37"/>
  <c r="A5" i="37"/>
  <c r="A7" i="37"/>
  <c r="A11" i="37"/>
  <c r="A10" i="37"/>
  <c r="B9" i="37"/>
  <c r="B4" i="37"/>
  <c r="B11" i="37"/>
  <c r="A9" i="37"/>
  <c r="B6" i="37"/>
  <c r="A4" i="37"/>
  <c r="B8" i="37"/>
  <c r="A6" i="37"/>
  <c r="B10" i="37"/>
  <c r="A8" i="37"/>
  <c r="B5" i="37"/>
  <c r="A3" i="37"/>
  <c r="B2" i="37"/>
  <c r="A2" i="37" a="1"/>
  <c r="B7" i="17" a="1"/>
  <c r="B3" i="17" a="1"/>
  <c r="B9" i="17" a="1"/>
  <c r="B5" i="17" a="1"/>
  <c r="A11" i="17" a="1"/>
  <c r="B8" i="36" a="1"/>
  <c r="A5" i="17" a="1"/>
  <c r="A4" i="17" a="1"/>
  <c r="B11" i="36" a="1"/>
  <c r="A9" i="36" a="1"/>
  <c r="B6" i="36" a="1"/>
  <c r="A4" i="36" a="1"/>
  <c r="B10" i="17" a="1"/>
  <c r="A6" i="36" a="1"/>
  <c r="A8" i="17" a="1"/>
  <c r="A10" i="17" a="1"/>
  <c r="B3" i="36" a="1"/>
  <c r="A3" i="36" a="1"/>
  <c r="B8" i="17" a="1"/>
  <c r="B7" i="36" a="1"/>
  <c r="B2" i="36" a="1"/>
  <c r="B4" i="17" a="1"/>
  <c r="A11" i="36" a="1"/>
  <c r="A7" i="17" a="1"/>
  <c r="B2" i="17" a="1"/>
  <c r="A8" i="36" a="1"/>
  <c r="A6" i="17" a="1"/>
  <c r="B5" i="36" a="1"/>
  <c r="B11" i="17" a="1"/>
  <c r="B10" i="36" a="1"/>
  <c r="A12" i="17" a="1"/>
  <c r="A12" i="27" a="1"/>
  <c r="A2" i="17" a="1"/>
  <c r="A5" i="36" a="1"/>
  <c r="A3" i="17" a="1"/>
  <c r="A10" i="36" a="1"/>
  <c r="B6" i="17" a="1"/>
  <c r="B9" i="36" a="1"/>
  <c r="A7" i="36" a="1"/>
  <c r="B4" i="36" a="1"/>
  <c r="A2" i="36" a="1"/>
  <c r="A9" i="17" a="1"/>
  <c r="A7" i="25" a="1"/>
  <c r="B9" i="25" a="1"/>
  <c r="B4" i="25" a="1"/>
  <c r="A8" i="25" a="1"/>
  <c r="B2" i="25" a="1"/>
  <c r="A4" i="25" a="1"/>
  <c r="A2" i="25" a="1"/>
  <c r="B3" i="25" a="1"/>
  <c r="B7" i="25" a="1"/>
  <c r="B5" i="25" a="1"/>
  <c r="A5" i="25" a="1"/>
  <c r="A10" i="25" a="1"/>
  <c r="A6" i="25" a="1"/>
  <c r="B10" i="25" a="1"/>
  <c r="A3" i="25" a="1"/>
  <c r="A11" i="25" a="1"/>
  <c r="B11" i="25" a="1"/>
  <c r="A9" i="25" a="1"/>
  <c r="B8" i="25" a="1"/>
  <c r="B6" i="25" a="1"/>
  <c r="A2" i="37" l="1"/>
  <c r="A2" i="36"/>
  <c r="B4" i="36"/>
  <c r="A7" i="36"/>
  <c r="B9" i="36"/>
  <c r="A10" i="36"/>
  <c r="A5" i="36"/>
  <c r="B10" i="36"/>
  <c r="B5" i="36"/>
  <c r="A8" i="36"/>
  <c r="A11" i="36"/>
  <c r="B2" i="36"/>
  <c r="B7" i="36"/>
  <c r="A3" i="36"/>
  <c r="B3" i="36"/>
  <c r="A6" i="36"/>
  <c r="A4" i="36"/>
  <c r="B6" i="36"/>
  <c r="A9" i="36"/>
  <c r="B11" i="36"/>
  <c r="B8" i="36"/>
  <c r="A11" i="17"/>
  <c r="A4" i="17"/>
  <c r="B8" i="17"/>
  <c r="B11" i="17"/>
  <c r="A10" i="17"/>
  <c r="A2" i="17"/>
  <c r="B2" i="17"/>
  <c r="B5" i="17"/>
  <c r="B9" i="17"/>
  <c r="A6" i="17"/>
  <c r="B6" i="17"/>
  <c r="A12" i="27"/>
  <c r="A7" i="17"/>
  <c r="B3" i="17"/>
  <c r="B7" i="17"/>
  <c r="A8" i="17"/>
  <c r="A3" i="17"/>
  <c r="B4" i="17"/>
  <c r="A5" i="17"/>
  <c r="A9" i="17"/>
  <c r="B10" i="17"/>
  <c r="A12" i="17"/>
  <c r="B7" i="25"/>
  <c r="B10" i="25"/>
  <c r="B6" i="25"/>
  <c r="A10" i="25"/>
  <c r="A6" i="25"/>
  <c r="B9" i="25"/>
  <c r="B5" i="25"/>
  <c r="A9" i="25"/>
  <c r="A5" i="25"/>
  <c r="B8" i="25"/>
  <c r="B4" i="25"/>
  <c r="A8" i="25"/>
  <c r="A4" i="25"/>
  <c r="B11" i="25"/>
  <c r="B3" i="25"/>
  <c r="A11" i="25"/>
  <c r="A7" i="25"/>
  <c r="A3" i="25"/>
  <c r="B2" i="25"/>
  <c r="A2" i="25"/>
  <c r="A2" i="22" a="1"/>
  <c r="A2" i="22" s="1"/>
  <c r="A3" i="22" a="1"/>
  <c r="A3" i="22" s="1"/>
  <c r="B3" i="22" a="1"/>
  <c r="B3" i="22"/>
  <c r="A4" i="22" a="1"/>
  <c r="A4" i="22" s="1"/>
  <c r="B4" i="22" a="1"/>
  <c r="B4" i="22" s="1"/>
  <c r="A5" i="22" a="1"/>
  <c r="A5" i="22" s="1"/>
  <c r="B5" i="22" a="1"/>
  <c r="B5" i="22" s="1"/>
  <c r="A6" i="22" a="1"/>
  <c r="A6" i="22" s="1"/>
  <c r="B6" i="22" a="1"/>
  <c r="B6" i="22" s="1"/>
  <c r="A7" i="22" a="1"/>
  <c r="A7" i="22" s="1"/>
  <c r="B7" i="22" a="1"/>
  <c r="B7" i="22" s="1"/>
  <c r="A8" i="22" a="1"/>
  <c r="A8" i="22" s="1"/>
  <c r="B8" i="22" a="1"/>
  <c r="B8" i="22" s="1"/>
  <c r="A9" i="22" a="1"/>
  <c r="A9" i="22" s="1"/>
  <c r="B9" i="22" a="1"/>
  <c r="B9" i="22" s="1"/>
  <c r="A10" i="22" a="1"/>
  <c r="A10" i="22" s="1"/>
  <c r="B10" i="22" a="1"/>
  <c r="B10" i="22" s="1"/>
  <c r="A11" i="22" a="1"/>
  <c r="A11" i="22" s="1"/>
  <c r="B11" i="22" a="1"/>
  <c r="B11" i="22" s="1"/>
  <c r="B2" i="22" a="1"/>
  <c r="B2" i="22" s="1"/>
  <c r="A3" i="16"/>
  <c r="B3" i="16"/>
  <c r="A4" i="16"/>
  <c r="B4" i="16"/>
  <c r="A5" i="16"/>
  <c r="B5" i="16"/>
  <c r="A6" i="16"/>
  <c r="B6" i="16"/>
  <c r="A7" i="16"/>
  <c r="B7" i="16"/>
  <c r="A8" i="16"/>
  <c r="B8" i="16"/>
  <c r="A9" i="16"/>
  <c r="B9" i="16"/>
  <c r="A10" i="16"/>
  <c r="B10" i="16"/>
  <c r="A11" i="16"/>
  <c r="B11" i="16"/>
  <c r="B2" i="16"/>
  <c r="A2" i="16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B11" i="23" a="1"/>
  <c r="B4" i="23" a="1"/>
  <c r="B10" i="23" a="1"/>
  <c r="B2" i="23" a="1"/>
  <c r="A4" i="23" a="1"/>
  <c r="B3" i="23" a="1"/>
  <c r="A11" i="23" a="1"/>
  <c r="B7" i="23" a="1"/>
  <c r="B8" i="23" a="1"/>
  <c r="B9" i="23" a="1"/>
  <c r="A6" i="23" a="1"/>
  <c r="A8" i="23" a="1"/>
  <c r="B5" i="23" a="1"/>
  <c r="A5" i="23" a="1"/>
  <c r="A10" i="23" a="1"/>
  <c r="A2" i="23" a="1"/>
  <c r="A7" i="23" a="1"/>
  <c r="B6" i="23" a="1"/>
  <c r="A9" i="23" a="1"/>
  <c r="A3" i="23" a="1"/>
  <c r="B3" i="23" l="1"/>
  <c r="B10" i="23"/>
  <c r="B6" i="23"/>
  <c r="A10" i="23"/>
  <c r="A6" i="23"/>
  <c r="B9" i="23"/>
  <c r="B5" i="23"/>
  <c r="A9" i="23"/>
  <c r="A5" i="23"/>
  <c r="B8" i="23"/>
  <c r="B4" i="23"/>
  <c r="A8" i="23"/>
  <c r="A4" i="23"/>
  <c r="B11" i="23"/>
  <c r="B7" i="23"/>
  <c r="A11" i="23"/>
  <c r="A7" i="23"/>
  <c r="A3" i="23"/>
  <c r="B2" i="23"/>
  <c r="A2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<sst xmlns="http://schemas.openxmlformats.org/spreadsheetml/2006/main" count="385" uniqueCount="141">
  <si>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</si>
  <si>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</si>
  <si>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</si>
  <si>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</si>
  <si>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</si>
  <si>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</si>
  <si>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</si>
  <si>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</si>
  <si>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</si>
  <si>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</si>
  <si>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</si>
  <si>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</si>
  <si>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</si>
  <si>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</si>
  <si>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</si>
  <si>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</si>
  <si>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</si>
  <si>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</si>
  <si>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</si>
  <si>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</si>
  <si>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</si>
  <si>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</si>
  <si>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</si>
  <si>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</si>
  <si>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</si>
  <si>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</si>
  <si>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</si>
  <si>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</si>
  <si>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</si>
  <si>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</si>
  <si>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</si>
  <si>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</si>
  <si>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</si>
  <si>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</si>
  <si>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</si>
  <si>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</si>
  <si>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</si>
  <si>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</si>
  <si>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</si>
  <si>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</si>
  <si>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</si>
  <si>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</si>
  <si>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</si>
  <si>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</si>
  <si>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</si>
  <si>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</si>
  <si>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</si>
  <si>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</si>
  <si>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</si>
  <si>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</si>
  <si>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</si>
  <si>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</si>
  <si>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</si>
  <si>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</si>
  <si>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</si>
  <si>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</si>
  <si>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</si>
  <si>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</si>
  <si>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</si>
  <si>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</si>
  <si>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</si>
  <si>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</si>
  <si>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</si>
  <si>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</si>
  <si>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</si>
  <si>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</si>
  <si>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</si>
  <si>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</si>
  <si>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</si>
  <si>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</si>
  <si>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</si>
  <si>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</si>
  <si>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</si>
  <si>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</si>
  <si>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</si>
  <si>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</si>
  <si>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</si>
  <si>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</si>
  <si>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</si>
  <si>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</si>
  <si>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</si>
  <si>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</si>
  <si>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</si>
  <si>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</si>
  <si>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</si>
  <si>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大阪府大阪市北区梅田3－1－1　グランフロントOSAKA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</si>
  <si>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</si>
  <si>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</si>
  <si>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</si>
  <si>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</si>
  <si>
    <t>東京都新宿区西新宿２丁目8-1　SHINJUKUタワー</t>
    <phoneticPr fontId="1"/>
  </si>
  <si>
    <t>神奈川県横浜市西区みなとみらい3-5-1　ヨコハマﾋﾞﾙ</t>
    <phoneticPr fontId="1"/>
  </si>
  <si>
    <t>東京都新宿区西新宿２丁目８－１　ＳＨＩＮＪＵＫＵタワー</t>
  </si>
  <si>
    <t>０３－１２３４－５６７８</t>
  </si>
  <si>
    <t>北海道札幌市中央区北３条西２丁目１番地　ホッカイドウビル</t>
  </si>
  <si>
    <t>大阪府大阪市北区梅田３－１－１　グランフロントＯＳＡＫＡ</t>
  </si>
  <si>
    <t>０６－６５７８－１２３４</t>
  </si>
  <si>
    <t>福岡市博多区博多駅前１ー１ー１　タワーハカタ</t>
  </si>
  <si>
    <t>神奈川県横浜市西区みなとみらい３－５－１　ヨコハマビル</t>
  </si>
  <si>
    <t>０４５－１２３４－５６７８</t>
  </si>
  <si>
    <t>名古屋市中区錦１－１－１　ナゴヤグランドタワーナゴヤ</t>
  </si>
  <si>
    <t>０５２－１２３４－５６７８</t>
  </si>
  <si>
    <t>さいたま市大宮区桜木町１丁目１番地１号　ＯＭＩＹＡ　ＰＬＡＺＡ</t>
  </si>
  <si>
    <t>０４８－９８７６－１２３４</t>
  </si>
  <si>
    <t>千葉県千葉市中央区富士見２丁目３－１０　チバセンター</t>
  </si>
  <si>
    <t>京都府京都市下京区四条通烏丸東入長刀鉾町　キョウトビルディング</t>
  </si>
  <si>
    <t>０７５－２３４－５６７８</t>
  </si>
  <si>
    <t>広島県広島市中区紙屋町２丁目２番１５号　ヒロシマタワー</t>
  </si>
  <si>
    <t>北海道札幌市中央区北3条西2丁目1番地　ホッカイドウビル</t>
  </si>
  <si>
    <t>011-234-5678</t>
  </si>
  <si>
    <t>大阪府大阪市北区梅田3-1-1　グランフロントOSAKA</t>
  </si>
  <si>
    <t>06-6578-1234</t>
  </si>
  <si>
    <t>092ー234ー1234</t>
  </si>
  <si>
    <t>神奈川県横浜市西区みなとみらい3-5-1　ヨコハマビル</t>
  </si>
  <si>
    <t>045-1234-5678</t>
  </si>
  <si>
    <t>052-1234-5678</t>
  </si>
  <si>
    <t>さいたま市大宮区桜木町1丁目1番地1号　OMIYA　PLAZA</t>
  </si>
  <si>
    <t>048-9876-1234</t>
  </si>
  <si>
    <t>千葉県千葉市中央区富士見2丁目3-10　チバセンター</t>
  </si>
  <si>
    <t>043ー123ー4567</t>
  </si>
  <si>
    <t>082-5678-1234</t>
  </si>
  <si>
    <t>福岡市博多区博多駅前1ー1ー1　タワーハカタ</t>
    <phoneticPr fontId="1"/>
  </si>
  <si>
    <t>０１１－２３４－５６７８</t>
    <phoneticPr fontId="1"/>
  </si>
  <si>
    <t>大阪府大阪市北区梅田3－1－1　グランﾌﾟロントOSAKA</t>
    <phoneticPr fontId="1"/>
  </si>
  <si>
    <t>千葉県千葉市中央区富士見2丁目3-10　チﾊﾟセンター</t>
    <phoneticPr fontId="1"/>
  </si>
  <si>
    <t>福岡市博多区博多駅前1ー1ー1　ﾀﾜｰﾊｶﾀ</t>
    <phoneticPr fontId="1"/>
  </si>
  <si>
    <t>０４３ー１２３ー４５６７</t>
    <phoneticPr fontId="1"/>
  </si>
  <si>
    <t>東京都新宿区西新宿２丁目８ー１　ＳＨＩＮＪＵＫＵタワー</t>
  </si>
  <si>
    <t>０３ー１２３４ー５６７８</t>
  </si>
  <si>
    <t>０１１ー２３４ー５６７８</t>
  </si>
  <si>
    <t>大阪府大阪市北区梅田３ー１ー１　グランプロントＯＳＡＫＡ</t>
  </si>
  <si>
    <t>０６ー６５７８ー１２３４</t>
  </si>
  <si>
    <t>神奈川県横浜市西区みなとみらい３ー５ー１　ヨコハマビル</t>
  </si>
  <si>
    <t>０４５ー１２３４ー５６７８</t>
  </si>
  <si>
    <t>名古屋市中区錦１ー１ー１　ナゴヤグランドタワーナゴヤ</t>
  </si>
  <si>
    <t>０５２ー１２３４ー５６７８</t>
  </si>
  <si>
    <t>さいたま市大宮区桜木町１丁目１番地１号　ＯＭＩＹＡ ＰＬＡＺＡ</t>
  </si>
  <si>
    <t>０４８ー９８７６ー１２３４</t>
  </si>
  <si>
    <t>千葉県千葉市中央区富士見２丁目３ー１０　チパセンター</t>
  </si>
  <si>
    <t>０７５ー２３４ー５６７８</t>
  </si>
  <si>
    <t>０８２ー５６７８ー１２３４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</si>
</sst>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41</xdr:row>
      <xdr:rowOff>50800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1046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半角英字と半角数字と半角カタカナを　全角にする。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全角英字と数字　を　半角に変換する。全角のカタカナは変換せずそのままとする。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　　　（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書き換えました）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2400" b="0" i="0">
              <a:latin typeface="Meiryo" panose="020B0604030504040204" pitchFamily="34" charset="-128"/>
              <a:ea typeface="Meiryo" panose="020B0604030504040204" pitchFamily="34" charset="-128"/>
            </a:rPr>
            <a:t>		ex. 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東京都新宿区西新宿２丁目８－１　</a:t>
          </a:r>
          <a:r>
            <a:rPr lang="ja-JP" altLang="en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ＳＨＩＮＪＵＫＵ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の場合、　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丁目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8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－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　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SHINJUKU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4-3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英数字の後に続く全角ハイフンや特殊な全角ハイフン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半角のハイフンにする。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　（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※【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注意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特殊なハイフンはいろいろあるので、この指示だけでは完璧な関数にはなりません。）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4182BE0-7BFF-A045-97A3-66DF6FDA672C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86EE1D28-452E-6443-AAFC-3F15EF250F37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355600</xdr:colOff>
      <xdr:row>9</xdr:row>
      <xdr:rowOff>241300</xdr:rowOff>
    </xdr:from>
    <xdr:to>
      <xdr:col>31</xdr:col>
      <xdr:colOff>393700</xdr:colOff>
      <xdr:row>18</xdr:row>
      <xdr:rowOff>228600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A275D6B-CA99-BE4E-B583-8011E14E0D81}"/>
            </a:ext>
          </a:extLst>
        </xdr:cNvPr>
        <xdr:cNvSpPr/>
      </xdr:nvSpPr>
      <xdr:spPr>
        <a:xfrm>
          <a:off x="18453100" y="25273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D9BF0D7A-CA43-C246-8587-8CEDBDC686B0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6-3. 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C25EB95-34B3-2C4F-BF9E-1109F551D553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46</xdr:row>
      <xdr:rowOff>38100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ECA93DA3-A931-DD44-86BC-31DCA1152291}"/>
            </a:ext>
          </a:extLst>
        </xdr:cNvPr>
        <xdr:cNvSpPr txBox="1"/>
      </xdr:nvSpPr>
      <xdr:spPr>
        <a:xfrm>
          <a:off x="0" y="0"/>
          <a:ext cx="26492200" cy="11722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半角英数字を**全角英数字にする。（混在を全角に統一する）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6-4.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全角英文字および数字の後に続く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6A1EB158-194D-BA4A-8EE0-987D161EE8B4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46</xdr:row>
      <xdr:rowOff>38100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EF71E239-8D9B-8A45-B74F-A51629196374}"/>
            </a:ext>
          </a:extLst>
        </xdr:cNvPr>
        <xdr:cNvSpPr txBox="1"/>
      </xdr:nvSpPr>
      <xdr:spPr>
        <a:xfrm>
          <a:off x="0" y="0"/>
          <a:ext cx="26492200" cy="11722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半角英数字を**全角英数字にする。（混在を全角に統一する）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6-4.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全角英文字および数字の後に続く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6-5.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全角英数字を**半角英数字にする。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全角英数字を**半角英数字にする。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6-7.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6C331073-8F3D-EC40-9231-4BCD302FFE90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1985210</xdr:colOff>
      <xdr:row>5</xdr:row>
      <xdr:rowOff>300790</xdr:rowOff>
    </xdr:from>
    <xdr:to>
      <xdr:col>4</xdr:col>
      <xdr:colOff>2172369</xdr:colOff>
      <xdr:row>11</xdr:row>
      <xdr:rowOff>107615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2497D78-2B64-F74F-ADED-04DA83EA3AEF}"/>
            </a:ext>
          </a:extLst>
        </xdr:cNvPr>
        <xdr:cNvSpPr/>
      </xdr:nvSpPr>
      <xdr:spPr>
        <a:xfrm>
          <a:off x="9317789" y="2339474"/>
          <a:ext cx="7332580" cy="1852194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半角カタカナ→全角カタカナ変換で、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濁点・半濁点付き半角カタカナの変換がうまく行かないので１変換処理ごとに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module6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以降で組み立てていくことに。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2760579</xdr:colOff>
      <xdr:row>1</xdr:row>
      <xdr:rowOff>320842</xdr:rowOff>
    </xdr:from>
    <xdr:to>
      <xdr:col>4</xdr:col>
      <xdr:colOff>2125580</xdr:colOff>
      <xdr:row>8</xdr:row>
      <xdr:rowOff>213894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FD9A60AA-10A3-C44A-B208-AFB2EEFDA089}"/>
            </a:ext>
          </a:extLst>
        </xdr:cNvPr>
        <xdr:cNvSpPr/>
      </xdr:nvSpPr>
      <xdr:spPr>
        <a:xfrm>
          <a:off x="10093158" y="995947"/>
          <a:ext cx="6510422" cy="2279315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GitHub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 module6-3 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コードによる結果です。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GitHub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 module6-1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と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は省略しています）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	 </a:t>
          </a:r>
        </a:p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エディタでは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module6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です。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ここまでは比較的スムーズにきました。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2760579</xdr:colOff>
      <xdr:row>3</xdr:row>
      <xdr:rowOff>220579</xdr:rowOff>
    </xdr:from>
    <xdr:to>
      <xdr:col>4</xdr:col>
      <xdr:colOff>2125580</xdr:colOff>
      <xdr:row>8</xdr:row>
      <xdr:rowOff>307474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2379507B-04D6-2948-A51E-15CA0BA64A16}"/>
            </a:ext>
          </a:extLst>
        </xdr:cNvPr>
        <xdr:cNvSpPr/>
      </xdr:nvSpPr>
      <xdr:spPr>
        <a:xfrm>
          <a:off x="10093158" y="1577474"/>
          <a:ext cx="6510422" cy="1791368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GitHub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 module6-4 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コードによる結果です。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エディタでは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module10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です。（わかりにくい！）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topLeftCell="A6" zoomScale="150" zoomScaleNormal="150" workbookViewId="1">
      <selection activeCell="A29" sqref="A29:XFD29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workbookViewId="1">
      <selection activeCell="AD38" sqref="AD38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34C73-0B63-9541-9130-820092DE976F}">
  <sheetPr codeName="Sheet19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AE5EC-4158-084E-BDAB-6D157CAECA64}">
  <sheetPr codeName="Sheet22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00659-210D-5A4F-AE18-D90391DD767B}">
  <sheetPr codeName="Sheet23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DD5E6-B798-534F-A398-CA8218ADB47E}">
  <sheetPr codeName="Sheet26">
    <tabColor theme="4"/>
  </sheetPr>
  <dimension ref="A1"/>
  <sheetViews>
    <sheetView workbookViewId="0">
      <selection activeCell="B29" sqref="B29"/>
    </sheetView>
    <sheetView tabSelected="1"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AA073-DA63-1745-A0A4-9DD37A390FDF}">
  <sheetPr codeName="Sheet25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E9" sqref="E9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zoomScale="200" zoomScaleNormal="20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DBCS(C2)</f>
        <v>東京都新宿区西新宿２丁目８－１　ＳＨＩＮＪＵＫＵタワー</v>
      </c>
      <c r="B2" s="4" t="str">
        <f>DBCS(D2)</f>
        <v>０３－１２３４－５６７８</v>
      </c>
      <c r="C2" s="2" t="s">
        <v>0</v>
      </c>
      <c r="D2" s="2" t="s">
        <v>8</v>
      </c>
    </row>
    <row r="3" spans="1:4" ht="27" customHeight="1">
      <c r="A3" s="4" t="str">
        <f t="shared" ref="A3:A11" si="0">DBCS(C3)</f>
        <v>北海道札幌市中央区北３条西２丁目１番地　ホッカイドウビル</v>
      </c>
      <c r="B3" s="4" t="str">
        <f t="shared" ref="B3:B11" si="1">DBCS(D3)</f>
        <v>０１１－２３４－５６７８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大阪府大阪市北区梅田３－１－１　グランフロントＯＳＡＫＡ</v>
      </c>
      <c r="B4" s="4" t="str">
        <f t="shared" si="1"/>
        <v>０６－６５７８－１２３４</v>
      </c>
      <c r="C4" s="2" t="s">
        <v>1</v>
      </c>
      <c r="D4" s="2" t="s">
        <v>10</v>
      </c>
    </row>
    <row r="5" spans="1:4" ht="27" customHeight="1">
      <c r="A5" s="4" t="str">
        <f t="shared" si="0"/>
        <v>福岡市博多区博多駅前１ー１ー１　タワーハカタ</v>
      </c>
      <c r="B5" s="4" t="str">
        <f t="shared" si="1"/>
        <v>０９２ー２３４ー１２３４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神奈川県横浜市西区みなとみらい３－５－１　ヨコハマビル</v>
      </c>
      <c r="B6" s="4" t="str">
        <f t="shared" si="1"/>
        <v>０４５－１２３４－５６７８</v>
      </c>
      <c r="C6" s="2" t="s">
        <v>3</v>
      </c>
      <c r="D6" s="2" t="s">
        <v>12</v>
      </c>
    </row>
    <row r="7" spans="1:4" ht="27" customHeight="1">
      <c r="A7" s="4" t="str">
        <f t="shared" si="0"/>
        <v>名古屋市中区錦１－１－１　ナゴヤグランドタワーナゴヤ</v>
      </c>
      <c r="B7" s="4" t="str">
        <f t="shared" si="1"/>
        <v>０５２－１２３４－５６７８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さいたま市大宮区桜木町１丁目１番地１号　ＯＭＩＹＡ　ＰＬＡＺＡ</v>
      </c>
      <c r="B8" s="4" t="str">
        <f t="shared" si="1"/>
        <v>０４８－９８７６－１２３４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千葉県千葉市中央区富士見２丁目３－１０　チバセンター</v>
      </c>
      <c r="B9" s="4" t="str">
        <f t="shared" si="1"/>
        <v>０４３ー１２３ー４５６７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　キョウトビルディング</v>
      </c>
      <c r="B10" s="4" t="str">
        <f t="shared" si="1"/>
        <v>０７５－２３４－５６７８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広島県広島市中区紙屋町２丁目２番１５号　ヒロシマタワー</v>
      </c>
      <c r="B11" s="4" t="str">
        <f t="shared" si="1"/>
        <v>０８２－５６７８－１２３４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E11"/>
  <sheetViews>
    <sheetView zoomScale="200" zoomScaleNormal="200" workbookViewId="0">
      <selection activeCell="A4" sqref="A4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ref="A2">_xlfn.TEXTJOIN("",,IF(_xlfn.UNICODE(MID(C2,_xlfn.SEQUENCE(LEN(C2)),1))&gt;=65281,
   CHAR(_xlfn.UNICODE(MID(C2,_xlfn.SEQUENCE(LEN(C2)),1))-65248),
   MID(C2,_xlfn.SEQUENCE(LEN(C2)),1)))</f>
        <v>東京都新宿区西新宿2丁目8-1　SHINJUKUタワー</v>
      </c>
      <c r="B2" s="4" t="str" cm="1">
        <f t="array" ref="B2">_xlfn.TEXTJOIN("",,IF(_xlfn.UNICODE(MID(D2,_xlfn.SEQUENCE(LEN(D2)),1))&gt;=65281,
   CHAR(_xlfn.UNICODE(MID(D2,_xlfn.SEQUENCE(LEN(D2)),1))-65248),
   MID(D2,_xlfn.SEQUENCE(LEN(D2)),1)))</f>
        <v>03-1234-5678</v>
      </c>
      <c r="C2" s="2" t="s">
        <v>92</v>
      </c>
      <c r="D2" s="2" t="s">
        <v>93</v>
      </c>
    </row>
    <row r="3" spans="1:5" ht="27" customHeight="1">
      <c r="A3" s="4" t="str" cm="1">
        <f t="array" ref="A3">_xlfn.TEXTJOIN("",,IF(_xlfn.UNICODE(MID(C3,_xlfn.SEQUENCE(LEN(C3)),1))&gt;=65281,
   CHAR(_xlfn.UNICODE(MID(C3,_xlfn.SEQUENCE(LEN(C3)),1))-65248),
   MID(C3,_xlfn.SEQUENCE(LEN(C3)),1)))</f>
        <v>北海道札幌市中央区北3条西2丁目1番地　ホッカイドウビル</v>
      </c>
      <c r="B3" s="4" t="str" cm="1">
        <f t="array" ref="B3">_xlfn.TEXTJOIN("",,IF(_xlfn.UNICODE(MID(D3,_xlfn.SEQUENCE(LEN(D3)),1))&gt;=65281,
   CHAR(_xlfn.UNICODE(MID(D3,_xlfn.SEQUENCE(LEN(D3)),1))-65248),
   MID(D3,_xlfn.SEQUENCE(LEN(D3)),1)))</f>
        <v>011-234-5678</v>
      </c>
      <c r="C3" s="2" t="s">
        <v>94</v>
      </c>
      <c r="D3" s="2" t="s">
        <v>9</v>
      </c>
    </row>
    <row r="4" spans="1:5" ht="27" customHeight="1">
      <c r="A4" s="4" t="str" cm="1">
        <f t="array" ref="A4">_xlfn.TEXTJOIN("",,IF(_xlfn.UNICODE(MID(C4,_xlfn.SEQUENCE(LEN(C4)),1))&gt;=65281,
   CHAR(_xlfn.UNICODE(MID(C4,_xlfn.SEQUENCE(LEN(C4)),1))-65248),
   MID(C4,_xlfn.SEQUENCE(LEN(C4)),1)))</f>
        <v>大阪府大阪市北区梅田3-1-1　グランフロントOSAKA</v>
      </c>
      <c r="B4" s="4" t="str" cm="1">
        <f t="array" ref="B4">_xlfn.TEXTJOIN("",,IF(_xlfn.UNICODE(MID(D4,_xlfn.SEQUENCE(LEN(D4)),1))&gt;=65281,
   CHAR(_xlfn.UNICODE(MID(D4,_xlfn.SEQUENCE(LEN(D4)),1))-65248),
   MID(D4,_xlfn.SEQUENCE(LEN(D4)),1)))</f>
        <v>06-6578-1234</v>
      </c>
      <c r="C4" s="2" t="s">
        <v>95</v>
      </c>
      <c r="D4" s="2" t="s">
        <v>96</v>
      </c>
    </row>
    <row r="5" spans="1:5" ht="27" customHeight="1">
      <c r="A5" s="4" t="str" cm="1">
        <f t="array" ref="A5">_xlfn.TEXTJOIN("",,IF(_xlfn.UNICODE(MID(C5,_xlfn.SEQUENCE(LEN(C5)),1))&gt;=65281,
   CHAR(_xlfn.UNICODE(MID(C5,_xlfn.SEQUENCE(LEN(C5)),1))-65248),
   MID(C5,_xlfn.SEQUENCE(LEN(C5)),1)))</f>
        <v>福岡市博多区博多駅前1ー1ー1　タワーハカタ</v>
      </c>
      <c r="B5" s="4" t="str" cm="1">
        <f t="array" ref="B5">_xlfn.TEXTJOIN("",,IF(_xlfn.UNICODE(MID(D5,_xlfn.SEQUENCE(LEN(D5)),1))&gt;=65281,
   CHAR(_xlfn.UNICODE(MID(D5,_xlfn.SEQUENCE(LEN(D5)),1))-65248),
   MID(D5,_xlfn.SEQUENCE(LEN(D5)),1)))</f>
        <v>092ー234ー1234</v>
      </c>
      <c r="C5" s="11" t="s">
        <v>97</v>
      </c>
      <c r="D5" s="11" t="s">
        <v>11</v>
      </c>
    </row>
    <row r="6" spans="1:5" ht="27" customHeight="1">
      <c r="A6" s="4" t="str" cm="1">
        <f t="array" ref="A6">_xlfn.TEXTJOIN("",,IF(_xlfn.UNICODE(MID(C6,_xlfn.SEQUENCE(LEN(C6)),1))&gt;=65281,
   CHAR(_xlfn.UNICODE(MID(C6,_xlfn.SEQUENCE(LEN(C6)),1))-65248),
   MID(C6,_xlfn.SEQUENCE(LEN(C6)),1)))</f>
        <v>神奈川県横浜市西区みなとみらい3-5-1　ヨコハマビル</v>
      </c>
      <c r="B6" s="4" t="str" cm="1">
        <f t="array" ref="B6">_xlfn.TEXTJOIN("",,IF(_xlfn.UNICODE(MID(D6,_xlfn.SEQUENCE(LEN(D6)),1))&gt;=65281,
   CHAR(_xlfn.UNICODE(MID(D6,_xlfn.SEQUENCE(LEN(D6)),1))-65248),
   MID(D6,_xlfn.SEQUENCE(LEN(D6)),1)))</f>
        <v>045-1234-5678</v>
      </c>
      <c r="C6" s="2" t="s">
        <v>98</v>
      </c>
      <c r="D6" s="2" t="s">
        <v>99</v>
      </c>
    </row>
    <row r="7" spans="1:5" ht="27" customHeight="1">
      <c r="A7" s="4" t="str" cm="1">
        <f t="array" ref="A7">_xlfn.TEXTJOIN("",,IF(_xlfn.UNICODE(MID(C7,_xlfn.SEQUENCE(LEN(C7)),1))&gt;=65281,
   CHAR(_xlfn.UNICODE(MID(C7,_xlfn.SEQUENCE(LEN(C7)),1))-65248),
   MID(C7,_xlfn.SEQUENCE(LEN(C7)),1)))</f>
        <v>名古屋市中区錦1-1-1　ナゴヤグランドタワーナゴヤ</v>
      </c>
      <c r="B7" s="4" t="str" cm="1">
        <f t="array" ref="B7">_xlfn.TEXTJOIN("",,IF(_xlfn.UNICODE(MID(D7,_xlfn.SEQUENCE(LEN(D7)),1))&gt;=65281,
   CHAR(_xlfn.UNICODE(MID(D7,_xlfn.SEQUENCE(LEN(D7)),1))-65248),
   MID(D7,_xlfn.SEQUENCE(LEN(D7)),1)))</f>
        <v>052-1234-5678</v>
      </c>
      <c r="C7" s="2" t="s">
        <v>100</v>
      </c>
      <c r="D7" s="2" t="s">
        <v>101</v>
      </c>
    </row>
    <row r="8" spans="1:5" ht="27" customHeight="1">
      <c r="A8" s="4" t="str" cm="1">
        <f t="array" ref="A8">_xlfn.TEXTJOIN("",,IF(_xlfn.UNICODE(MID(C8,_xlfn.SEQUENCE(LEN(C8)),1))&gt;=65281,
   CHAR(_xlfn.UNICODE(MID(C8,_xlfn.SEQUENCE(LEN(C8)),1))-65248),
   MID(C8,_xlfn.SEQUENCE(LEN(C8)),1)))</f>
        <v>さいたま市大宮区桜木町1丁目1番地1号　OMIYA　PLAZA</v>
      </c>
      <c r="B8" s="4" t="str" cm="1">
        <f t="array" ref="B8">_xlfn.TEXTJOIN("",,IF(_xlfn.UNICODE(MID(D8,_xlfn.SEQUENCE(LEN(D8)),1))&gt;=65281,
   CHAR(_xlfn.UNICODE(MID(D8,_xlfn.SEQUENCE(LEN(D8)),1))-65248),
   MID(D8,_xlfn.SEQUENCE(LEN(D8)),1)))</f>
        <v>048-9876-1234</v>
      </c>
      <c r="C8" s="2" t="s">
        <v>102</v>
      </c>
      <c r="D8" s="2" t="s">
        <v>103</v>
      </c>
    </row>
    <row r="9" spans="1:5" ht="27" customHeight="1">
      <c r="A9" s="4" t="str" cm="1">
        <f t="array" ref="A9">_xlfn.TEXTJOIN("",,IF(_xlfn.UNICODE(MID(C9,_xlfn.SEQUENCE(LEN(C9)),1))&gt;=65281,
   CHAR(_xlfn.UNICODE(MID(C9,_xlfn.SEQUENCE(LEN(C9)),1))-65248),
   MID(C9,_xlfn.SEQUENCE(LEN(C9)),1)))</f>
        <v>千葉県千葉市中央区富士見2丁目3-10　チバセンター</v>
      </c>
      <c r="B9" s="4" t="str" cm="1">
        <f t="array" ref="B9">_xlfn.TEXTJOIN("",,IF(_xlfn.UNICODE(MID(D9,_xlfn.SEQUENCE(LEN(D9)),1))&gt;=65281,
   CHAR(_xlfn.UNICODE(MID(D9,_xlfn.SEQUENCE(LEN(D9)),1))-65248),
   MID(D9,_xlfn.SEQUENCE(LEN(D9)),1)))</f>
        <v>043ー123ー4567</v>
      </c>
      <c r="C9" s="2" t="s">
        <v>104</v>
      </c>
      <c r="D9" s="11" t="s">
        <v>15</v>
      </c>
    </row>
    <row r="10" spans="1:5" ht="27" customHeight="1">
      <c r="A10" s="4" t="str" cm="1">
        <f t="array" ref="A10">_xlfn.TEXTJOIN("",,IF(_xlfn.UNICODE(MID(C10,_xlfn.SEQUENCE(LEN(C10)),1))&gt;=65281,
   CHAR(_xlfn.UNICODE(MID(C10,_xlfn.SEQUENCE(LEN(C10)),1))-65248),
   MID(C10,_xlfn.SEQUENCE(LEN(C10)),1)))</f>
        <v>京都府京都市下京区四条通烏丸東入長刀鉾町　キョウトビルディング</v>
      </c>
      <c r="B10" s="4" t="str" cm="1">
        <f t="array" ref="B10">_xlfn.TEXTJOIN("",,IF(_xlfn.UNICODE(MID(D10,_xlfn.SEQUENCE(LEN(D10)),1))&gt;=65281,
   CHAR(_xlfn.UNICODE(MID(D10,_xlfn.SEQUENCE(LEN(D10)),1))-65248),
   MID(D10,_xlfn.SEQUENCE(LEN(D10)),1)))</f>
        <v>075-234-5678</v>
      </c>
      <c r="C10" s="2" t="s">
        <v>105</v>
      </c>
      <c r="D10" s="2" t="s">
        <v>106</v>
      </c>
    </row>
    <row r="11" spans="1:5" ht="27" customHeight="1">
      <c r="A11" s="4" t="str" cm="1">
        <f t="array" ref="A11">_xlfn.TEXTJOIN("",,IF(_xlfn.UNICODE(MID(C11,_xlfn.SEQUENCE(LEN(C11)),1))&gt;=65281,
   CHAR(_xlfn.UNICODE(MID(C11,_xlfn.SEQUENCE(LEN(C11)),1))-65248),
   MID(C11,_xlfn.SEQUENCE(LEN(C11)),1)))</f>
        <v>広島県広島市中区紙屋町2丁目2番15号　ヒロシマタワー</v>
      </c>
      <c r="B11" s="4" t="str" cm="1">
        <f t="array" ref="B11">_xlfn.TEXTJOIN("",,IF(_xlfn.UNICODE(MID(D11,_xlfn.SEQUENCE(LEN(D11)),1))&gt;=65281,
   CHAR(_xlfn.UNICODE(MID(D11,_xlfn.SEQUENCE(LEN(D11)),1))-65248),
   MID(D11,_xlfn.SEQUENCE(LEN(D11)),1)))</f>
        <v>082-5678-1234</v>
      </c>
      <c r="C11" s="2" t="s">
        <v>107</v>
      </c>
      <c r="D11" s="2" t="s">
        <v>17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C2579-4C47-4947-A3C3-827B695A3BE1}">
  <sheetPr codeName="Sheet20">
    <tabColor rgb="FFFFFF00"/>
  </sheetPr>
  <dimension ref="A1:E11"/>
  <sheetViews>
    <sheetView zoomScale="200" zoomScaleNormal="20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aca="1" ref="A2" ca="1">_xlfn.TEXTJOIN("",TRUE,IF((MID(C2,ROW(INDIRECT("1:"&amp;LEN(C2))),1)="－")+(MID(C2,ROW(INDIRECT("1:"&amp;LEN(C2))),1)="ー")*(ISNUMBER(FIND(MID(C2,ROW(INDIRECT("1:"&amp;LEN(C2)))-1,1),"0123456789ABCDEFGHIJKLMNOPQRSTUVWXYZabcdefghijklmnopqrstuvwxyz"))),"-",MID(C2,ROW(INDIRECT("1:"&amp;LEN(C2))),1)))</f>
        <v>東京都新宿区西新宿2丁目8-1　SHINJUKUタワー</v>
      </c>
      <c r="B2" s="4" t="str" cm="1">
        <f t="array" aca="1" ref="B2" ca="1">_xlfn.TEXTJOIN("",TRUE,IF((MID(D2,ROW(INDIRECT("1:"&amp;LEN(D2))),1)="－")+(MID(D2,ROW(INDIRECT("1:"&amp;LEN(D2))),1)="ー")*(ISNUMBER(FIND(MID(D2,ROW(INDIRECT("1:"&amp;LEN(D2)))-1,1),"0123456789ABCDEFGHIJKLMNOPQRSTUVWXYZabcdefghijklmnopqrstuvwxyz"))),"-",MID(D2,ROW(INDIRECT("1:"&amp;LEN(D2))),1)))</f>
        <v>03-1234-5678</v>
      </c>
      <c r="C2" s="2" t="s">
        <v>0</v>
      </c>
      <c r="D2" s="2" t="s">
        <v>8</v>
      </c>
    </row>
    <row r="3" spans="1:5" ht="27" customHeight="1">
      <c r="A3" s="4" t="str" cm="1">
        <f t="array" aca="1" ref="A3" ca="1">_xlfn.TEXTJOIN("",TRUE,IF((MID(C3,ROW(INDIRECT("1:"&amp;LEN(C3))),1)="－")+(MID(C3,ROW(INDIRECT("1:"&amp;LEN(C3))),1)="ー")*(ISNUMBER(FIND(MID(C3,ROW(INDIRECT("1:"&amp;LEN(C3)))-1,1),"0123456789ABCDEFGHIJKLMNOPQRSTUVWXYZabcdefghijklmnopqrstuvwxyz"))),"-",MID(C3,ROW(INDIRECT("1:"&amp;LEN(C3))),1)))</f>
        <v>北海道札幌市中央区北3条西2丁目1番地　ホッカイドウビル</v>
      </c>
      <c r="B3" s="4" t="str" cm="1">
        <f t="array" aca="1" ref="B3" ca="1">_xlfn.TEXTJOIN("",TRUE,IF((MID(D3,ROW(INDIRECT("1:"&amp;LEN(D3))),1)="－")+(MID(D3,ROW(INDIRECT("1:"&amp;LEN(D3))),1)="ー")*(ISNUMBER(FIND(MID(D3,ROW(INDIRECT("1:"&amp;LEN(D3)))-1,1),"0123456789ABCDEFGHIJKLMNOPQRSTUVWXYZabcdefghijklmnopqrstuvwxyz"))),"-",MID(D3,ROW(INDIRECT("1:"&amp;LEN(D3))),1)))</f>
        <v>011-234-5678</v>
      </c>
      <c r="C3" s="2" t="s">
        <v>108</v>
      </c>
      <c r="D3" s="2" t="s">
        <v>109</v>
      </c>
    </row>
    <row r="4" spans="1:5" ht="27" customHeight="1">
      <c r="A4" s="4" t="str" cm="1">
        <f t="array" aca="1" ref="A4" ca="1">_xlfn.TEXTJOIN("",TRUE,IF((MID(C4,ROW(INDIRECT("1:"&amp;LEN(C4))),1)="－")+(MID(C4,ROW(INDIRECT("1:"&amp;LEN(C4))),1)="ー")*(ISNUMBER(FIND(MID(C4,ROW(INDIRECT("1:"&amp;LEN(C4)))-1,1),"0123456789ABCDEFGHIJKLMNOPQRSTUVWXYZabcdefghijklmnopqrstuvwxyz"))),"-",MID(C4,ROW(INDIRECT("1:"&amp;LEN(C4))),1)))</f>
        <v>大阪府大阪市北区梅田3-1-1　グランフロントOSAKA</v>
      </c>
      <c r="B4" s="4" t="str" cm="1">
        <f t="array" aca="1" ref="B4" ca="1">_xlfn.TEXTJOIN("",TRUE,IF((MID(D4,ROW(INDIRECT("1:"&amp;LEN(D4))),1)="－")+(MID(D4,ROW(INDIRECT("1:"&amp;LEN(D4))),1)="ー")*(ISNUMBER(FIND(MID(D4,ROW(INDIRECT("1:"&amp;LEN(D4)))-1,1),"0123456789ABCDEFGHIJKLMNOPQRSTUVWXYZabcdefghijklmnopqrstuvwxyz"))),"-",MID(D4,ROW(INDIRECT("1:"&amp;LEN(D4))),1)))</f>
        <v>06-6578-1234</v>
      </c>
      <c r="C4" s="2" t="s">
        <v>110</v>
      </c>
      <c r="D4" s="2" t="s">
        <v>111</v>
      </c>
    </row>
    <row r="5" spans="1:5" ht="27" customHeight="1">
      <c r="A5" s="12" t="str" cm="1">
        <f t="array" aca="1" ref="A5" ca="1">_xlfn.TEXTJOIN("",TRUE,IF((MID(C5,ROW(INDIRECT("1:"&amp;LEN(C5))),1)="－")+(MID(C5,ROW(INDIRECT("1:"&amp;LEN(C5))),1)="ー")*(ISNUMBER(FIND(MID(C5,ROW(INDIRECT("1:"&amp;LEN(C5)))-1,1),"0123456789ABCDEFGHIJKLMNOPQRSTUVWXYZabcdefghijklmnopqrstuvwxyz"))),"-",MID(C5,ROW(INDIRECT("1:"&amp;LEN(C5))),1)))</f>
        <v>福岡市博多区博多駅前1-1-1　タワーハカタ</v>
      </c>
      <c r="B5" s="12" t="str" cm="1">
        <f t="array" aca="1" ref="B5" ca="1">_xlfn.TEXTJOIN("",TRUE,IF((MID(D5,ROW(INDIRECT("1:"&amp;LEN(D5))),1)="－")+(MID(D5,ROW(INDIRECT("1:"&amp;LEN(D5))),1)="ー")*(ISNUMBER(FIND(MID(D5,ROW(INDIRECT("1:"&amp;LEN(D5)))-1,1),"0123456789ABCDEFGHIJKLMNOPQRSTUVWXYZabcdefghijklmnopqrstuvwxyz"))),"-",MID(D5,ROW(INDIRECT("1:"&amp;LEN(D5))),1)))</f>
        <v>092-234-1234</v>
      </c>
      <c r="C5" s="11" t="s">
        <v>121</v>
      </c>
      <c r="D5" s="11" t="s">
        <v>112</v>
      </c>
    </row>
    <row r="6" spans="1:5" ht="27" customHeight="1">
      <c r="A6" s="4" t="str" cm="1">
        <f t="array" aca="1" ref="A6" ca="1">_xlfn.TEXTJOIN("",TRUE,IF((MID(C6,ROW(INDIRECT("1:"&amp;LEN(C6))),1)="－")+(MID(C6,ROW(INDIRECT("1:"&amp;LEN(C6))),1)="ー")*(ISNUMBER(FIND(MID(C6,ROW(INDIRECT("1:"&amp;LEN(C6)))-1,1),"0123456789ABCDEFGHIJKLMNOPQRSTUVWXYZabcdefghijklmnopqrstuvwxyz"))),"-",MID(C6,ROW(INDIRECT("1:"&amp;LEN(C6))),1)))</f>
        <v>神奈川県横浜市西区みなとみらい3-5-1　ヨコハマビル</v>
      </c>
      <c r="B6" s="4" t="str" cm="1">
        <f t="array" aca="1" ref="B6" ca="1">_xlfn.TEXTJOIN("",TRUE,IF((MID(D6,ROW(INDIRECT("1:"&amp;LEN(D6))),1)="－")+(MID(D6,ROW(INDIRECT("1:"&amp;LEN(D6))),1)="ー")*(ISNUMBER(FIND(MID(D6,ROW(INDIRECT("1:"&amp;LEN(D6)))-1,1),"0123456789ABCDEFGHIJKLMNOPQRSTUVWXYZabcdefghijklmnopqrstuvwxyz"))),"-",MID(D6,ROW(INDIRECT("1:"&amp;LEN(D6))),1)))</f>
        <v>045-1234-5678</v>
      </c>
      <c r="C6" s="2" t="s">
        <v>113</v>
      </c>
      <c r="D6" s="2" t="s">
        <v>114</v>
      </c>
    </row>
    <row r="7" spans="1:5" ht="27" customHeight="1">
      <c r="A7" s="4" t="str" cm="1">
        <f t="array" aca="1" ref="A7" ca="1">_xlfn.TEXTJOIN("",TRUE,IF((MID(C7,ROW(INDIRECT("1:"&amp;LEN(C7))),1)="－")+(MID(C7,ROW(INDIRECT("1:"&amp;LEN(C7))),1)="ー")*(ISNUMBER(FIND(MID(C7,ROW(INDIRECT("1:"&amp;LEN(C7)))-1,1),"0123456789ABCDEFGHIJKLMNOPQRSTUVWXYZabcdefghijklmnopqrstuvwxyz"))),"-",MID(C7,ROW(INDIRECT("1:"&amp;LEN(C7))),1)))</f>
        <v>名古屋市中区錦1-1-1　ナゴヤグランドタワーナゴヤ</v>
      </c>
      <c r="B7" s="4" t="str" cm="1">
        <f t="array" aca="1" ref="B7" ca="1">_xlfn.TEXTJOIN("",TRUE,IF((MID(D7,ROW(INDIRECT("1:"&amp;LEN(D7))),1)="－")+(MID(D7,ROW(INDIRECT("1:"&amp;LEN(D7))),1)="ー")*(ISNUMBER(FIND(MID(D7,ROW(INDIRECT("1:"&amp;LEN(D7)))-1,1),"0123456789ABCDEFGHIJKLMNOPQRSTUVWXYZabcdefghijklmnopqrstuvwxyz"))),"-",MID(D7,ROW(INDIRECT("1:"&amp;LEN(D7))),1)))</f>
        <v>052-1234-5678</v>
      </c>
      <c r="C7" s="2" t="s">
        <v>81</v>
      </c>
      <c r="D7" s="2" t="s">
        <v>115</v>
      </c>
    </row>
    <row r="8" spans="1:5" ht="27" customHeight="1">
      <c r="A8" s="4" t="str" cm="1">
        <f t="array" aca="1" ref="A8" ca="1">_xlfn.TEXTJOIN("",TRUE,IF((MID(C8,ROW(INDIRECT("1:"&amp;LEN(C8))),1)="－")+(MID(C8,ROW(INDIRECT("1:"&amp;LEN(C8))),1)="ー")*(ISNUMBER(FIND(MID(C8,ROW(INDIRECT("1:"&amp;LEN(C8)))-1,1),"0123456789ABCDEFGHIJKLMNOPQRSTUVWXYZabcdefghijklmnopqrstuvwxyz"))),"-",MID(C8,ROW(INDIRECT("1:"&amp;LEN(C8))),1)))</f>
        <v>さいたま市大宮区桜木町1丁目1番地1号　OMIYA　PLAZA</v>
      </c>
      <c r="B8" s="4" t="str" cm="1">
        <f t="array" aca="1" ref="B8" ca="1">_xlfn.TEXTJOIN("",TRUE,IF((MID(D8,ROW(INDIRECT("1:"&amp;LEN(D8))),1)="－")+(MID(D8,ROW(INDIRECT("1:"&amp;LEN(D8))),1)="ー")*(ISNUMBER(FIND(MID(D8,ROW(INDIRECT("1:"&amp;LEN(D8)))-1,1),"0123456789ABCDEFGHIJKLMNOPQRSTUVWXYZabcdefghijklmnopqrstuvwxyz"))),"-",MID(D8,ROW(INDIRECT("1:"&amp;LEN(D8))),1)))</f>
        <v>048-9876-1234</v>
      </c>
      <c r="C8" s="2" t="s">
        <v>116</v>
      </c>
      <c r="D8" s="2" t="s">
        <v>117</v>
      </c>
    </row>
    <row r="9" spans="1:5" ht="27" customHeight="1">
      <c r="A9" s="4" t="str" cm="1">
        <f t="array" aca="1" ref="A9" ca="1">_xlfn.TEXTJOIN("",TRUE,IF((MID(C9,ROW(INDIRECT("1:"&amp;LEN(C9))),1)="－")+(MID(C9,ROW(INDIRECT("1:"&amp;LEN(C9))),1)="ー")*(ISNUMBER(FIND(MID(C9,ROW(INDIRECT("1:"&amp;LEN(C9)))-1,1),"0123456789ABCDEFGHIJKLMNOPQRSTUVWXYZabcdefghijklmnopqrstuvwxyz"))),"-",MID(C9,ROW(INDIRECT("1:"&amp;LEN(C9))),1)))</f>
        <v>千葉県千葉市中央区富士見2丁目3-10　チバセンター</v>
      </c>
      <c r="B9" s="12" t="str" cm="1">
        <f t="array" aca="1" ref="B9" ca="1">_xlfn.TEXTJOIN("",TRUE,IF((MID(D9,ROW(INDIRECT("1:"&amp;LEN(D9))),1)="－")+(MID(D9,ROW(INDIRECT("1:"&amp;LEN(D9))),1)="ー")*(ISNUMBER(FIND(MID(D9,ROW(INDIRECT("1:"&amp;LEN(D9)))-1,1),"0123456789ABCDEFGHIJKLMNOPQRSTUVWXYZabcdefghijklmnopqrstuvwxyz"))),"-",MID(D9,ROW(INDIRECT("1:"&amp;LEN(D9))),1)))</f>
        <v>043-123-4567</v>
      </c>
      <c r="C9" s="2" t="s">
        <v>118</v>
      </c>
      <c r="D9" s="11" t="s">
        <v>119</v>
      </c>
    </row>
    <row r="10" spans="1:5" ht="27" customHeight="1">
      <c r="A10" s="4" t="str" cm="1">
        <f t="array" aca="1" ref="A10" ca="1">_xlfn.TEXTJOIN("",TRUE,IF((MID(C10,ROW(INDIRECT("1:"&amp;LEN(C10))),1)="－")+(MID(C10,ROW(INDIRECT("1:"&amp;LEN(C10))),1)="ー")*(ISNUMBER(FIND(MID(C10,ROW(INDIRECT("1:"&amp;LEN(C10)))-1,1),"0123456789ABCDEFGHIJKLMNOPQRSTUVWXYZabcdefghijklmnopqrstuvwxyz"))),"-",MID(C10,ROW(INDIRECT("1:"&amp;LEN(C10))),1)))</f>
        <v>京都府京都市下京区四条通烏丸東入長刀鉾町　キョウトビルディング</v>
      </c>
      <c r="B10" s="4" t="str" cm="1">
        <f t="array" aca="1" ref="B10" ca="1">_xlfn.TEXTJOIN("",TRUE,IF((MID(D10,ROW(INDIRECT("1:"&amp;LEN(D10))),1)="－")+(MID(D10,ROW(INDIRECT("1:"&amp;LEN(D10))),1)="ー")*(ISNUMBER(FIND(MID(D10,ROW(INDIRECT("1:"&amp;LEN(D10)))-1,1),"0123456789ABCDEFGHIJKLMNOPQRSTUVWXYZabcdefghijklmnopqrstuvwxyz"))),"-",MID(D10,ROW(INDIRECT("1:"&amp;LEN(D10))),1)))</f>
        <v>075-234-5678</v>
      </c>
      <c r="C10" s="2" t="s">
        <v>105</v>
      </c>
      <c r="D10" s="2" t="s">
        <v>16</v>
      </c>
    </row>
    <row r="11" spans="1:5" ht="27" customHeight="1">
      <c r="A11" s="4" t="str" cm="1">
        <f t="array" aca="1" ref="A11" ca="1">_xlfn.TEXTJOIN("",TRUE,IF((MID(C11,ROW(INDIRECT("1:"&amp;LEN(C11))),1)="－")+(MID(C11,ROW(INDIRECT("1:"&amp;LEN(C11))),1)="ー")*(ISNUMBER(FIND(MID(C11,ROW(INDIRECT("1:"&amp;LEN(C11)))-1,1),"0123456789ABCDEFGHIJKLMNOPQRSTUVWXYZabcdefghijklmnopqrstuvwxyz"))),"-",MID(C11,ROW(INDIRECT("1:"&amp;LEN(C11))),1)))</f>
        <v>広島県広島市中区紙屋町2丁目2番15号　ヒロシマタワー</v>
      </c>
      <c r="B11" s="4" t="str" cm="1">
        <f t="array" aca="1" ref="B11" ca="1">_xlfn.TEXTJOIN("",TRUE,IF((MID(D11,ROW(INDIRECT("1:"&amp;LEN(D11))),1)="－")+(MID(D11,ROW(INDIRECT("1:"&amp;LEN(D11))),1)="ー")*(ISNUMBER(FIND(MID(D11,ROW(INDIRECT("1:"&amp;LEN(D11)))-1,1),"0123456789ABCDEFGHIJKLMNOPQRSTUVWXYZabcdefghijklmnopqrstuvwxyz"))),"-",MID(D11,ROW(INDIRECT("1:"&amp;LEN(D11))),1)))</f>
        <v>082-5678-1234</v>
      </c>
      <c r="C11" s="2" t="s">
        <v>5</v>
      </c>
      <c r="D11" s="2" t="s">
        <v>120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2"/>
  <sheetViews>
    <sheetView zoomScale="190" zoomScaleNormal="190" workbookViewId="0">
      <selection activeCell="E4" sqref="E4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90</v>
      </c>
      <c r="D2" s="2" t="s">
        <v>8</v>
      </c>
    </row>
    <row r="3" spans="1:4" ht="27" customHeight="1">
      <c r="A3" s="11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011ー234ー5678</v>
      </c>
      <c r="C3" s="2" t="s">
        <v>73</v>
      </c>
      <c r="D3" s="2" t="s">
        <v>122</v>
      </c>
    </row>
    <row r="4" spans="1:4" ht="27" customHeight="1">
      <c r="A4" s="11" t="str" cm="1">
        <f t="array" ref="A4">NormalizeJapaneseText(C4)</f>
        <v>大阪府大阪市北区梅田3ー1ー1 グランブﾟロントOSAKA</v>
      </c>
      <c r="B4" s="4" t="str" cm="1">
        <f t="array" ref="B4">NormalizeJapaneseText(D4)</f>
        <v>06-6578-1234</v>
      </c>
      <c r="C4" s="2" t="s">
        <v>123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11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91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さいたま市大宮区桜木町1丁目1番地1号 OMIYA PLAZA</v>
      </c>
      <c r="B8" s="4" t="str" cm="1">
        <f t="array" ref="B8">NormalizeJapaneseText(D8)</f>
        <v>048-9876-1234</v>
      </c>
      <c r="C8" s="2" t="s">
        <v>4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チバﾟセンター</v>
      </c>
      <c r="B9" s="4" t="str" cm="1">
        <f t="array" ref="B9">NormalizeJapaneseText(D9)</f>
        <v>043ー123ー4567</v>
      </c>
      <c r="C9" s="2" t="s">
        <v>124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  <row r="12" spans="1:4">
      <c r="A12" s="7" t="str" cm="1">
        <f t="array" ref="A12">NormalizeJapaneseText(C12)</f>
        <v/>
      </c>
    </row>
  </sheetData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1A03A-37E8-2F4E-B43B-C2575B8B8337}">
  <sheetPr codeName="Sheet21">
    <tabColor rgb="FFFFFF00"/>
  </sheetPr>
  <dimension ref="A1:D12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NormalizeText(C2)</f>
        <v>東京都新宿区西新宿２丁目８ー１　ＳＨＩＮＪＵＫＵタワー</v>
      </c>
      <c r="B2" s="4" t="str" cm="1">
        <f t="array" ref="B2">NormalizeText(D2)</f>
        <v>０３ー１２３４ー５６７８</v>
      </c>
      <c r="C2" s="2" t="s">
        <v>90</v>
      </c>
      <c r="D2" s="2" t="s">
        <v>8</v>
      </c>
    </row>
    <row r="3" spans="1:4" ht="27" customHeight="1">
      <c r="A3" s="4" t="str" cm="1">
        <f t="array" ref="A3">NormalizeText(C3)</f>
        <v>北海道札幌市中央区北３条西２丁目１番地　ホッカイドウビル</v>
      </c>
      <c r="B3" s="4" t="str" cm="1">
        <f t="array" ref="B3">NormalizeText(D3)</f>
        <v>０１１ー２３４ー５６７８</v>
      </c>
      <c r="C3" s="2" t="s">
        <v>73</v>
      </c>
      <c r="D3" s="2" t="s">
        <v>122</v>
      </c>
    </row>
    <row r="4" spans="1:4" ht="27" customHeight="1">
      <c r="A4" s="4" t="str" cm="1">
        <f t="array" ref="A4">NormalizeText(C4)</f>
        <v>大阪府大阪市北区梅田３ー１ー１　グランプロントＯＳＡＫＡ</v>
      </c>
      <c r="B4" s="4" t="str" cm="1">
        <f t="array" ref="B4">NormalizeText(D4)</f>
        <v>０６ー６５７８ー１２３４</v>
      </c>
      <c r="C4" s="2" t="s">
        <v>123</v>
      </c>
      <c r="D4" s="2" t="s">
        <v>10</v>
      </c>
    </row>
    <row r="5" spans="1:4" ht="27" customHeight="1">
      <c r="A5" s="4" t="str" cm="1">
        <f t="array" ref="A5">NormalizeText(C5)</f>
        <v>福岡市博多区博多駅前１ー１ー１　タワーハカタ</v>
      </c>
      <c r="B5" s="4" t="str" cm="1">
        <f t="array" ref="B5">NormalizeText(D5)</f>
        <v>０９２ー２３４ー１２３４</v>
      </c>
      <c r="C5" s="2" t="s">
        <v>125</v>
      </c>
      <c r="D5" s="2" t="s">
        <v>11</v>
      </c>
    </row>
    <row r="6" spans="1:4" ht="27" customHeight="1">
      <c r="A6" s="4" t="str" cm="1">
        <f t="array" ref="A6">NormalizeText(C6)</f>
        <v>神奈川県横浜市西区みなとみらい３ー５ー１　ヨコハマビル</v>
      </c>
      <c r="B6" s="4" t="str" cm="1">
        <f t="array" ref="B6">NormalizeText(D6)</f>
        <v>０４５ー１２３４ー５６７８</v>
      </c>
      <c r="C6" s="2" t="s">
        <v>91</v>
      </c>
      <c r="D6" s="2" t="s">
        <v>12</v>
      </c>
    </row>
    <row r="7" spans="1:4" ht="27" customHeight="1">
      <c r="A7" s="4" t="str" cm="1">
        <f t="array" ref="A7">NormalizeText(C7)</f>
        <v>名古屋市中区錦１ー１ー１　ナゴヤグランドタワーナゴヤ</v>
      </c>
      <c r="B7" s="4" t="str" cm="1">
        <f t="array" ref="B7">NormalizeText(D7)</f>
        <v>０５２ー１２３４ー５６７８</v>
      </c>
      <c r="C7" s="2" t="s">
        <v>20</v>
      </c>
      <c r="D7" s="2" t="s">
        <v>13</v>
      </c>
    </row>
    <row r="8" spans="1:4" ht="27" customHeight="1">
      <c r="A8" s="4" t="str" cm="1">
        <f t="array" ref="A8">NormalizeText(C8)</f>
        <v>さいたま市大宮区桜木町１丁目１番地１号　ＯＭＩＹＡ ＰＬＡＺＡ</v>
      </c>
      <c r="B8" s="4" t="str" cm="1">
        <f t="array" ref="B8">NormalizeText(D8)</f>
        <v>０４８ー９８７６ー１２３４</v>
      </c>
      <c r="C8" s="2" t="s">
        <v>4</v>
      </c>
      <c r="D8" s="2" t="s">
        <v>14</v>
      </c>
    </row>
    <row r="9" spans="1:4" ht="27" customHeight="1">
      <c r="A9" s="4" t="str" cm="1">
        <f t="array" ref="A9">NormalizeText(C9)</f>
        <v>千葉県千葉市中央区富士見２丁目３ー１０　チパセンター</v>
      </c>
      <c r="B9" s="4" t="str" cm="1">
        <f t="array" ref="B9">NormalizeText(D9)</f>
        <v>０４３ー１２３ー４５６７</v>
      </c>
      <c r="C9" s="2" t="s">
        <v>124</v>
      </c>
      <c r="D9" s="2" t="s">
        <v>126</v>
      </c>
    </row>
    <row r="10" spans="1:4" ht="27" customHeight="1">
      <c r="A10" s="4" t="str" cm="1">
        <f t="array" ref="A10">NormalizeText(C10)</f>
        <v>京都府京都市下京区四条通烏丸東入長刀鉾町　キョウトビルディング</v>
      </c>
      <c r="B10" s="4" t="str" cm="1">
        <f t="array" ref="B10">NormalizeText(D10)</f>
        <v>０７５ー２３４ー５６７８</v>
      </c>
      <c r="C10" s="2" t="s">
        <v>75</v>
      </c>
      <c r="D10" s="2" t="s">
        <v>16</v>
      </c>
    </row>
    <row r="11" spans="1:4" ht="27" customHeight="1">
      <c r="A11" s="4" t="str" cm="1">
        <f t="array" ref="A11">NormalizeText(C11)</f>
        <v>広島県広島市中区紙屋町２丁目２番１５号　ヒロシマタワー</v>
      </c>
      <c r="B11" s="4" t="str" cm="1">
        <f t="array" ref="B11">NormalizeText(D11)</f>
        <v>０８２ー５６７８ー１２３４</v>
      </c>
      <c r="C11" s="2" t="s">
        <v>5</v>
      </c>
      <c r="D11" s="2" t="s">
        <v>17</v>
      </c>
    </row>
    <row r="12" spans="1:4">
      <c r="A12" s="7" t="str" cm="1">
        <f t="array" ref="A12">NormalizeJapaneseText(C12)</f>
        <v/>
      </c>
    </row>
  </sheetData>
  <phoneticPr fontId="1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16CC8-1704-F448-A874-00D20C07D61E}">
  <sheetPr codeName="Sheet28">
    <tabColor rgb="FFFFFF00"/>
  </sheetPr>
  <dimension ref="A1:D12"/>
  <sheetViews>
    <sheetView tabSelected="1" zoomScale="190" zoomScaleNormal="190" workbookViewId="0">
      <selection activeCell="C3" sqref="C3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NormalizeAndProcessText(C2)</f>
        <v>東京都新宿区西新宿２丁目８-１　ＳＨＩＮＪＵＫＵタワー</v>
      </c>
      <c r="B2" s="4" t="str" cm="1">
        <f t="array" ref="B2">NormalizeAndProcessText(D2)</f>
        <v>０３-１２３４-５６７８</v>
      </c>
      <c r="C2" s="2" t="s">
        <v>127</v>
      </c>
      <c r="D2" s="2" t="s">
        <v>128</v>
      </c>
    </row>
    <row r="3" spans="1:4" ht="27" customHeight="1">
      <c r="A3" s="4" t="str" cm="1">
        <f t="array" ref="A3">NormalizeAndProcessText(C3)</f>
        <v>北海道札幌市中央区北３条西２丁目１番地　ホッカイドウビル</v>
      </c>
      <c r="B3" s="4" t="str" cm="1">
        <f t="array" ref="B3">NormalizeAndProcessText(D3)</f>
        <v>０１１-２３４-５６７８</v>
      </c>
      <c r="C3" s="2" t="s">
        <v>94</v>
      </c>
      <c r="D3" s="2" t="s">
        <v>129</v>
      </c>
    </row>
    <row r="4" spans="1:4" ht="27" customHeight="1">
      <c r="A4" s="4" t="str" cm="1">
        <f t="array" ref="A4">NormalizeAndProcessText(C4)</f>
        <v>大阪府大阪市北区梅田３-１-１　グランプロントＯＳＡＫＡ</v>
      </c>
      <c r="B4" s="4" t="str" cm="1">
        <f t="array" ref="B4">NormalizeAndProcessText(D4)</f>
        <v>０６-６５７８-１２３４</v>
      </c>
      <c r="C4" s="2" t="s">
        <v>130</v>
      </c>
      <c r="D4" s="2" t="s">
        <v>131</v>
      </c>
    </row>
    <row r="5" spans="1:4" ht="27" customHeight="1">
      <c r="A5" s="4" t="str" cm="1">
        <f t="array" ref="A5">NormalizeAndProcessText(C5)</f>
        <v>福岡市博多区博多駅前１-１-１　タワーハカタ</v>
      </c>
      <c r="B5" s="4" t="str" cm="1">
        <f t="array" ref="B5">NormalizeAndProcessText(D5)</f>
        <v>０９２-２３４-１２３４</v>
      </c>
      <c r="C5" s="2" t="s">
        <v>97</v>
      </c>
      <c r="D5" s="2" t="s">
        <v>11</v>
      </c>
    </row>
    <row r="6" spans="1:4" ht="27" customHeight="1">
      <c r="A6" s="4" t="str" cm="1">
        <f t="array" ref="A6">NormalizeAndProcessText(C6)</f>
        <v>神奈川県横浜市西区みなとみらい３-５-１　ヨコハマビル</v>
      </c>
      <c r="B6" s="4" t="str" cm="1">
        <f t="array" ref="B6">NormalizeAndProcessText(D6)</f>
        <v>０４５-１２３４-５６７８</v>
      </c>
      <c r="C6" s="2" t="s">
        <v>132</v>
      </c>
      <c r="D6" s="2" t="s">
        <v>133</v>
      </c>
    </row>
    <row r="7" spans="1:4" ht="27" customHeight="1">
      <c r="A7" s="4" t="str" cm="1">
        <f t="array" ref="A7">NormalizeAndProcessText(C7)</f>
        <v>名古屋市中区錦１-１-１　ナゴヤグランドタワーナゴヤ</v>
      </c>
      <c r="B7" s="4" t="str" cm="1">
        <f t="array" ref="B7">NormalizeAndProcessText(D7)</f>
        <v>０５２-１２３４-５６７８</v>
      </c>
      <c r="C7" s="2" t="s">
        <v>134</v>
      </c>
      <c r="D7" s="2" t="s">
        <v>135</v>
      </c>
    </row>
    <row r="8" spans="1:4" ht="27" customHeight="1">
      <c r="A8" s="4" t="str" cm="1">
        <f t="array" ref="A8">NormalizeAndProcessText(C8)</f>
        <v>さいたま市大宮区桜木町１丁目１番地１号　ＯＭＩＹＡ　ＰＬＡＺＡ</v>
      </c>
      <c r="B8" s="4" t="str" cm="1">
        <f t="array" ref="B8">NormalizeAndProcessText(D8)</f>
        <v>０４８-９８７６-１２３４</v>
      </c>
      <c r="C8" s="2" t="s">
        <v>136</v>
      </c>
      <c r="D8" s="2" t="s">
        <v>137</v>
      </c>
    </row>
    <row r="9" spans="1:4" ht="27" customHeight="1">
      <c r="A9" s="4" t="str" cm="1">
        <f t="array" ref="A9">NormalizeAndProcessText(C9)</f>
        <v>千葉県千葉市中央区富士見２丁目３-１０　チパセンター</v>
      </c>
      <c r="B9" s="4" t="str" cm="1">
        <f t="array" ref="B9">NormalizeAndProcessText(D9)</f>
        <v>０４３-１２３-４５６７</v>
      </c>
      <c r="C9" s="2" t="s">
        <v>138</v>
      </c>
      <c r="D9" s="2" t="s">
        <v>15</v>
      </c>
    </row>
    <row r="10" spans="1:4" ht="27" customHeight="1">
      <c r="A10" s="4" t="str" cm="1">
        <f t="array" ref="A10">NormalizeAndProcessText(C10)</f>
        <v>京都府京都市下京区四条通烏丸東入長刀鉾町　キョウトビルディング</v>
      </c>
      <c r="B10" s="4" t="str" cm="1">
        <f t="array" ref="B10">NormalizeAndProcessText(D10)</f>
        <v>０７５-２３４-５６７８</v>
      </c>
      <c r="C10" s="2" t="s">
        <v>105</v>
      </c>
      <c r="D10" s="2" t="s">
        <v>139</v>
      </c>
    </row>
    <row r="11" spans="1:4" ht="27" customHeight="1">
      <c r="A11" s="4" t="str" cm="1">
        <f t="array" ref="A11">NormalizeAndProcessText(C11)</f>
        <v>広島県広島市中区紙屋町２丁目２番１５号　ヒロシマタワー</v>
      </c>
      <c r="B11" s="4" t="str" cm="1">
        <f t="array" ref="B11">NormalizeAndProcessText(D11)</f>
        <v>０８２-５６７８-１２３４</v>
      </c>
      <c r="C11" s="2" t="s">
        <v>107</v>
      </c>
      <c r="D11" s="2" t="s">
        <v>140</v>
      </c>
    </row>
    <row r="12" spans="1:4">
      <c r="A12" s="7" t="str" cm="1">
        <f t="array" ref="A12">NormalizeJapaneseText(C12)</f>
        <v/>
      </c>
    </row>
  </sheetData>
  <phoneticPr fontId="1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0E52-C8EC-DD46-8D91-BA56A4C219AF}">
  <sheetPr codeName="Sheet18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86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011-234ー5678</v>
      </c>
      <c r="C3" s="2" t="s">
        <v>87</v>
      </c>
      <c r="D3" s="2" t="s">
        <v>89</v>
      </c>
    </row>
    <row r="4" spans="1:4" ht="27" customHeight="1">
      <c r="A4" s="4" t="str" cm="1">
        <f t="array" ref="A4">NormalizeJapaneseText(C4)</f>
        <v>大阪府大阪市北区梅田3ー1ー1 グランフロントOSAKA</v>
      </c>
      <c r="B4" s="4" t="str" cm="1">
        <f t="array" ref="B4">NormalizeJapaneseText(D4)</f>
        <v>06-6578-1234</v>
      </c>
      <c r="C4" s="2" t="s">
        <v>85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さいたま市大宮区桜木町1丁目1番地1111955号 OMIYA PLAZA</v>
      </c>
      <c r="B8" s="4" t="str" cm="1">
        <f t="array" ref="B8">NormalizeJapaneseText(D8)</f>
        <v>048-9876-1234</v>
      </c>
      <c r="C8" s="2" t="s">
        <v>88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043ー123ー4567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C28FF-81B3-9C4B-8D1F-FE240712FEB2}">
  <sheetPr codeName="Sheet24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86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011-234ー5678</v>
      </c>
      <c r="C3" s="2" t="s">
        <v>87</v>
      </c>
      <c r="D3" s="2" t="s">
        <v>89</v>
      </c>
    </row>
    <row r="4" spans="1:4" ht="27" customHeight="1">
      <c r="A4" s="4" t="str" cm="1">
        <f t="array" ref="A4">NormalizeJapaneseText(C4)</f>
        <v>大阪府大阪市北区梅田3ー1ー1 グランフロントOSAKA</v>
      </c>
      <c r="B4" s="4" t="str" cm="1">
        <f t="array" ref="B4">NormalizeJapaneseText(D4)</f>
        <v>06-6578-1234</v>
      </c>
      <c r="C4" s="2" t="s">
        <v>85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さいたま市大宮区桜木町1丁目1番地1111955号 OMIYA PLAZA</v>
      </c>
      <c r="B8" s="4" t="str" cm="1">
        <f t="array" ref="B8">NormalizeJapaneseText(D8)</f>
        <v>048-9876-1234</v>
      </c>
      <c r="C8" s="2" t="s">
        <v>88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043ー123ー4567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0B4D2-03A6-8F42-AEC4-82CCA3220AD3}">
  <sheetPr codeName="Sheet27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NormalizeAndProcessText(C2)</f>
        <v>東京都新宿区西新宿２丁目８-１　ＳＨＩＮＪＵＫＵタワー</v>
      </c>
      <c r="B2" s="4" t="str" cm="1">
        <f t="array" ref="B2">NormalizeAndProcessText(D2)</f>
        <v>０３-１２３４-５６７８</v>
      </c>
      <c r="C2" s="2" t="s">
        <v>127</v>
      </c>
      <c r="D2" s="2" t="s">
        <v>128</v>
      </c>
    </row>
    <row r="3" spans="1:4" ht="27" customHeight="1">
      <c r="A3" s="4" t="str" cm="1">
        <f t="array" ref="A3">NormalizeAndProcessText(C3)</f>
        <v>北海道札幌市中央区北３条西２丁目１番地　ホッカイドウビル</v>
      </c>
      <c r="B3" s="4" t="str" cm="1">
        <f t="array" ref="B3">NormalizeAndProcessText(D3)</f>
        <v>０１１-２３４-５６７８</v>
      </c>
      <c r="C3" s="2" t="s">
        <v>94</v>
      </c>
      <c r="D3" s="2" t="s">
        <v>129</v>
      </c>
    </row>
    <row r="4" spans="1:4" ht="27" customHeight="1">
      <c r="A4" s="4" t="str" cm="1">
        <f t="array" ref="A4">NormalizeAndProcessText(C4)</f>
        <v>大阪府大阪市北区梅田３-１-１　グランプロントＯＳＡＫＡ</v>
      </c>
      <c r="B4" s="4" t="str" cm="1">
        <f t="array" ref="B4">NormalizeAndProcessText(D4)</f>
        <v>０６-６５７８-１２３４</v>
      </c>
      <c r="C4" s="2" t="s">
        <v>130</v>
      </c>
      <c r="D4" s="2" t="s">
        <v>131</v>
      </c>
    </row>
    <row r="5" spans="1:4" ht="27" customHeight="1">
      <c r="A5" s="4" t="str" cm="1">
        <f t="array" ref="A5">NormalizeAndProcessText(C5)</f>
        <v>福岡市博多区博多駅前１-１-１　タワーハカタ</v>
      </c>
      <c r="B5" s="4" t="str" cm="1">
        <f t="array" ref="B5">NormalizeAndProcessText(D5)</f>
        <v>０９２-２３４-１２３４</v>
      </c>
      <c r="C5" s="2" t="s">
        <v>97</v>
      </c>
      <c r="D5" s="2" t="s">
        <v>11</v>
      </c>
    </row>
    <row r="6" spans="1:4" ht="27" customHeight="1">
      <c r="A6" s="4" t="str" cm="1">
        <f t="array" ref="A6">NormalizeAndProcessText(C6)</f>
        <v>神奈川県横浜市西区みなとみらい３-５-１　ヨコハマビル</v>
      </c>
      <c r="B6" s="4" t="str" cm="1">
        <f t="array" ref="B6">NormalizeAndProcessText(D6)</f>
        <v>０４５-１２３４-５６７８</v>
      </c>
      <c r="C6" s="2" t="s">
        <v>132</v>
      </c>
      <c r="D6" s="2" t="s">
        <v>133</v>
      </c>
    </row>
    <row r="7" spans="1:4" ht="27" customHeight="1">
      <c r="A7" s="4" t="str" cm="1">
        <f t="array" ref="A7">NormalizeAndProcessText(C7)</f>
        <v>名古屋市中区錦１-１-１　ナゴヤグランドタワーナゴヤ</v>
      </c>
      <c r="B7" s="4" t="str" cm="1">
        <f t="array" ref="B7">NormalizeAndProcessText(D7)</f>
        <v>０５２-１２３４-５６７８</v>
      </c>
      <c r="C7" s="2" t="s">
        <v>134</v>
      </c>
      <c r="D7" s="2" t="s">
        <v>135</v>
      </c>
    </row>
    <row r="8" spans="1:4" ht="27" customHeight="1">
      <c r="A8" s="4" t="str" cm="1">
        <f t="array" ref="A8">NormalizeAndProcessText(C8)</f>
        <v>さいたま市大宮区桜木町１丁目１番地１号　ＯＭＩＹＡ　ＰＬＡＺＡ</v>
      </c>
      <c r="B8" s="4" t="str" cm="1">
        <f t="array" ref="B8">NormalizeAndProcessText(D8)</f>
        <v>０４８-９８７６-１２３４</v>
      </c>
      <c r="C8" s="2" t="s">
        <v>136</v>
      </c>
      <c r="D8" s="2" t="s">
        <v>137</v>
      </c>
    </row>
    <row r="9" spans="1:4" ht="27" customHeight="1">
      <c r="A9" s="4" t="str" cm="1">
        <f t="array" ref="A9">NormalizeAndProcessText(C9)</f>
        <v>千葉県千葉市中央区富士見２丁目３-１０　チパセンター</v>
      </c>
      <c r="B9" s="4" t="str" cm="1">
        <f t="array" ref="B9">NormalizeAndProcessText(D9)</f>
        <v>０４３-１２３-４５６７</v>
      </c>
      <c r="C9" s="2" t="s">
        <v>138</v>
      </c>
      <c r="D9" s="2" t="s">
        <v>15</v>
      </c>
    </row>
    <row r="10" spans="1:4" ht="27" customHeight="1">
      <c r="A10" s="4" t="str" cm="1">
        <f t="array" ref="A10">NormalizeAndProcessText(C10)</f>
        <v>京都府京都市下京区四条通烏丸東入長刀鉾町　キョウトビルディング</v>
      </c>
      <c r="B10" s="4" t="str" cm="1">
        <f t="array" ref="B10">NormalizeAndProcessText(D10)</f>
        <v>０７５-２３４-５６７８</v>
      </c>
      <c r="C10" s="2" t="s">
        <v>105</v>
      </c>
      <c r="D10" s="2" t="s">
        <v>139</v>
      </c>
    </row>
    <row r="11" spans="1:4" ht="27" customHeight="1">
      <c r="A11" s="4" t="str" cm="1">
        <f t="array" ref="A11">NormalizeAndProcessText(C11)</f>
        <v>広島県広島市中区紙屋町２丁目２番１５号　ヒロシマタワー</v>
      </c>
      <c r="B11" s="4" t="str" cm="1">
        <f t="array" ref="B11">NormalizeAndProcessText(D11)</f>
        <v>０８２-５６７８-１２３４</v>
      </c>
      <c r="C11" s="2" t="s">
        <v>107</v>
      </c>
      <c r="D11" s="2" t="s">
        <v>140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A6" sqref="A6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27</vt:i4>
      </vt:variant>
    </vt:vector>
  </HeadingPairs>
  <TitlesOfParts>
    <vt:vector size="27" baseType="lpstr">
      <vt:lpstr>P1_都道府県削除</vt:lpstr>
      <vt:lpstr>P２_都道府県削除</vt:lpstr>
      <vt:lpstr>P３_都道府県削除</vt:lpstr>
      <vt:lpstr>P4_全角半角</vt:lpstr>
      <vt:lpstr>P5_全角半角</vt:lpstr>
      <vt:lpstr>P6-1_全角半角</vt:lpstr>
      <vt:lpstr>P6-2_全角半角</vt:lpstr>
      <vt:lpstr>P6-3_全角半角</vt:lpstr>
      <vt:lpstr>P6-4_全角半角</vt:lpstr>
      <vt:lpstr>P6-_全角半角</vt:lpstr>
      <vt:lpstr>P7_全角半角</vt:lpstr>
      <vt:lpstr>P8_マージ</vt:lpstr>
      <vt:lpstr>module (1)</vt:lpstr>
      <vt:lpstr>module (2)</vt:lpstr>
      <vt:lpstr>module (3)</vt:lpstr>
      <vt:lpstr>module (4-1)</vt:lpstr>
      <vt:lpstr>module (4-2)</vt:lpstr>
      <vt:lpstr>module (4-3) </vt:lpstr>
      <vt:lpstr>module (5)</vt:lpstr>
      <vt:lpstr>module (6-3)</vt:lpstr>
      <vt:lpstr>module (6-4)</vt:lpstr>
      <vt:lpstr>module (7)</vt:lpstr>
      <vt:lpstr>module (8)</vt:lpstr>
      <vt:lpstr>module (9)</vt:lpstr>
      <vt:lpstr>module (10)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竹内 拓海</cp:lastModifiedBy>
  <dcterms:created xsi:type="dcterms:W3CDTF">2025-01-18T06:06:43Z</dcterms:created>
  <dcterms:modified xsi:type="dcterms:W3CDTF">2025-01-28T07:16:02Z</dcterms:modified>
</cp:coreProperties>
</file>