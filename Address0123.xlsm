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C2CCAD06-A90C-BE4C-8677-E3BDDB7AC5D6}" xr6:coauthVersionLast="47" xr6:coauthVersionMax="47" xr10:uidLastSave="{00000000-0000-0000-0000-000000000000}"/>
  <bookViews>
    <workbookView xWindow="0" yWindow="18360" windowWidth="64000" windowHeight="17640" activeTab="11" xr2:uid="{B81BA0A3-71F8-624E-A3D5-0115DDCF4DDD}"/>
    <workbookView xWindow="0" yWindow="500" windowWidth="64000" windowHeight="17780" activeTab="4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2" l="1"/>
  <c r="B3" i="22"/>
  <c r="B4" i="22"/>
  <c r="B5" i="22"/>
  <c r="A6" i="22"/>
  <c r="B6" i="22"/>
  <c r="A7" i="22"/>
  <c r="B7" i="22"/>
  <c r="A8" i="22"/>
  <c r="B8" i="22"/>
  <c r="A9" i="22"/>
  <c r="B9" i="22"/>
  <c r="A10" i="22"/>
  <c r="B10" i="22"/>
  <c r="A11" i="22"/>
  <c r="B11" i="22"/>
  <c r="B2" i="22"/>
  <c r="A2" i="22"/>
  <c r="E3" i="22"/>
  <c r="G3" i="22" s="1"/>
  <c r="I3" i="22" s="1"/>
  <c r="F3" i="22"/>
  <c r="H3" i="22"/>
  <c r="J3" i="22"/>
  <c r="E4" i="22"/>
  <c r="G4" i="22" s="1"/>
  <c r="I4" i="22" s="1"/>
  <c r="A4" i="22" s="1"/>
  <c r="F4" i="22"/>
  <c r="H4" i="22"/>
  <c r="J4" i="22"/>
  <c r="E5" i="22"/>
  <c r="F5" i="22"/>
  <c r="G5" i="22"/>
  <c r="I5" i="22" s="1"/>
  <c r="A5" i="22" s="1"/>
  <c r="H5" i="22"/>
  <c r="J5" i="22" s="1"/>
  <c r="E6" i="22"/>
  <c r="F6" i="22"/>
  <c r="G6" i="22"/>
  <c r="H6" i="22"/>
  <c r="I6" i="22"/>
  <c r="J6" i="22"/>
  <c r="E7" i="22"/>
  <c r="F7" i="22"/>
  <c r="G7" i="22"/>
  <c r="H7" i="22"/>
  <c r="I7" i="22"/>
  <c r="J7" i="22"/>
  <c r="E8" i="22"/>
  <c r="G8" i="22" s="1"/>
  <c r="I8" i="22" s="1"/>
  <c r="F8" i="22"/>
  <c r="H8" i="22" s="1"/>
  <c r="J8" i="22" s="1"/>
  <c r="E9" i="22"/>
  <c r="F9" i="22"/>
  <c r="G9" i="22"/>
  <c r="H9" i="22"/>
  <c r="I9" i="22"/>
  <c r="J9" i="22"/>
  <c r="E10" i="22"/>
  <c r="F10" i="22"/>
  <c r="G10" i="22"/>
  <c r="H10" i="22"/>
  <c r="I10" i="22"/>
  <c r="J10" i="22"/>
  <c r="E11" i="22"/>
  <c r="F11" i="22"/>
  <c r="G11" i="22"/>
  <c r="H11" i="22"/>
  <c r="I11" i="22"/>
  <c r="J11" i="22"/>
  <c r="J2" i="22"/>
  <c r="I2" i="22"/>
  <c r="H2" i="22"/>
  <c r="G2" i="22"/>
  <c r="F2" i="22"/>
  <c r="E2" i="22"/>
  <c r="B2" i="16"/>
  <c r="B3" i="16"/>
  <c r="B4" i="16"/>
  <c r="B5" i="16"/>
  <c r="B6" i="16"/>
  <c r="B7" i="16"/>
  <c r="B8" i="16"/>
  <c r="B9" i="16"/>
  <c r="B10" i="16"/>
  <c r="B11" i="16"/>
  <c r="A3" i="16"/>
  <c r="A4" i="16"/>
  <c r="A5" i="16"/>
  <c r="A6" i="16"/>
  <c r="A7" i="16"/>
  <c r="A8" i="16"/>
  <c r="A9" i="16"/>
  <c r="A10" i="16"/>
  <c r="A11" i="16"/>
  <c r="A2" i="16"/>
  <c r="E2" i="16" s="1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B5" i="17" a="1"/>
  <c r="B9" i="17" a="1"/>
  <c r="A10" i="17" a="1"/>
  <c r="B6" i="17" a="1"/>
  <c r="A3" i="17" a="1"/>
  <c r="B2" i="17" a="1"/>
  <c r="B11" i="17" a="1"/>
  <c r="B8" i="17" a="1"/>
  <c r="A9" i="17" a="1"/>
  <c r="A2" i="17" a="1"/>
  <c r="A7" i="17" a="1"/>
  <c r="A11" i="17" a="1"/>
  <c r="B3" i="17" a="1"/>
  <c r="A8" i="17" a="1"/>
  <c r="A6" i="17" a="1"/>
  <c r="B4" i="17" a="1"/>
  <c r="B10" i="17" a="1"/>
  <c r="B7" i="17" a="1"/>
  <c r="A4" i="17" a="1"/>
  <c r="A5" i="17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A2" i="17"/>
  <c r="B10" i="17"/>
  <c r="B4" i="17"/>
  <c r="B6" i="17"/>
  <c r="A10" i="17"/>
  <c r="A6" i="17"/>
  <c r="B9" i="17"/>
  <c r="B5" i="17"/>
  <c r="A9" i="17"/>
  <c r="A5" i="17"/>
  <c r="B8" i="17"/>
  <c r="A8" i="17"/>
  <c r="A4" i="17"/>
  <c r="B11" i="17"/>
  <c r="B7" i="17"/>
  <c r="B3" i="17"/>
  <c r="A11" i="17"/>
  <c r="A7" i="17"/>
  <c r="A3" i="17"/>
  <c r="B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<sst xmlns="http://schemas.openxmlformats.org/spreadsheetml/2006/main" count="292" uniqueCount="94">
  <si>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</si>
  <si>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</si>
  <si>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</si>
  <si>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</si>
  <si>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</si>
  <si>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</si>
  <si>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</si>
  <si>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</si>
  <si>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</si>
  <si>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</si>
  <si>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</si>
  <si>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</si>
  <si>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</si>
  <si>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</si>
  <si>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</si>
  <si>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</si>
  <si>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</si>
  <si>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</si>
  <si>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</si>
  <si>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</si>
  <si>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</si>
  <si>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</si>
  <si>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</si>
  <si>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</si>
  <si>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</si>
  <si>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</si>
  <si>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</si>
  <si>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</si>
  <si>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</si>
  <si>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</si>
  <si>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</si>
  <si>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</si>
  <si>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</si>
  <si>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</si>
  <si>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</si>
  <si>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</si>
  <si>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</si>
  <si>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</si>
  <si>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</si>
  <si>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</si>
  <si>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</si>
  <si>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</si>
  <si>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</si>
  <si>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</si>
  <si>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</si>
  <si>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</si>
  <si>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</si>
  <si>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</si>
  <si>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</si>
  <si>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</si>
  <si>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</si>
  <si>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</si>
  <si>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</si>
  <si>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</si>
  <si>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</si>
  <si>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</si>
  <si>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</si>
  <si>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</si>
  <si>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</si>
  <si>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</si>
  <si>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</si>
  <si>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</si>
  <si>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</si>
  <si>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</si>
  <si>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</si>
  <si>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</si>
  <si>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</si>
  <si>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</si>
  <si>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</si>
  <si>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</si>
  <si>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</si>
  <si>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</si>
  <si>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</si>
  <si>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</si>
  <si>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</si>
  <si>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</si>
  <si>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</si>
  <si>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</si>
  <si>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</si>
  <si>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</si>
  <si>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</si>
  <si>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</si>
  <si>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</si>
  <si>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</si>
  <si>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</si>
  <si>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</si>
  <si>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カナ半角→全角</t>
    <rPh sb="2" eb="3">
      <t xml:space="preserve">ハｎ </t>
    </rPh>
    <rPh sb="3" eb="4">
      <t xml:space="preserve">ゼンカク </t>
    </rPh>
    <rPh sb="5" eb="6">
      <t xml:space="preserve">ゼン </t>
    </rPh>
    <rPh sb="6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</si>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</sst>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28</xdr:row>
      <xdr:rowOff>152400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726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abSelected="1" topLeftCell="A8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E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5" ht="27" customHeight="1">
      <c r="A2" s="4" t="str">
        <f>SUBSTITUTE(C2, "ー", "-")</f>
        <v>東京都新宿区西新宿2丁目8-1　SHINJUKUタワ-</v>
      </c>
      <c r="B2" s="4" t="str">
        <f>SUBSTITUTE(D2, "ー", "-")</f>
        <v>03-1234-5678</v>
      </c>
      <c r="C2" s="2" t="s">
        <v>0</v>
      </c>
      <c r="D2" s="2" t="s">
        <v>8</v>
      </c>
      <c r="E2" t="str">
        <f>DBCS(SUBSTITUTE(A2, "ー", "-"))</f>
        <v>東京都新宿区西新宿２丁目８－１　ＳＨＩＮＪＵＫＵタワ－</v>
      </c>
    </row>
    <row r="3" spans="1:5" ht="27" customHeight="1">
      <c r="A3" s="4" t="str">
        <f t="shared" ref="A3:B11" si="0">SUBSTITUTE(C3, "ー", "-")</f>
        <v>北海道札幌市中央区北3条西2丁目1番地　ﾎｯｶｲﾄﾞｳビル</v>
      </c>
      <c r="B3" s="4" t="str">
        <f t="shared" si="0"/>
        <v>０１１－２３４－５６７８</v>
      </c>
      <c r="C3" s="2" t="s">
        <v>73</v>
      </c>
      <c r="D3" s="2" t="s">
        <v>9</v>
      </c>
    </row>
    <row r="4" spans="1:5" ht="27" customHeight="1">
      <c r="A4" s="4" t="str">
        <f t="shared" si="0"/>
        <v>大阪府大阪市北区梅田3－1－1　グランフロントOSAKA</v>
      </c>
      <c r="B4" s="4" t="str">
        <f t="shared" si="0"/>
        <v>06-６５７８-1234</v>
      </c>
      <c r="C4" s="2" t="s">
        <v>1</v>
      </c>
      <c r="D4" s="2" t="s">
        <v>10</v>
      </c>
    </row>
    <row r="5" spans="1:5" ht="27" customHeight="1">
      <c r="A5" s="4" t="str">
        <f t="shared" si="0"/>
        <v>福岡市博多区博多駅前1-1-1　ﾀﾜｰﾊｶﾀ</v>
      </c>
      <c r="B5" s="4" t="str">
        <f t="shared" si="0"/>
        <v>０９２-２３４-１２３４</v>
      </c>
      <c r="C5" s="2" t="s">
        <v>2</v>
      </c>
      <c r="D5" s="2" t="s">
        <v>11</v>
      </c>
    </row>
    <row r="6" spans="1:5" ht="27" customHeight="1">
      <c r="A6" s="4" t="str">
        <f t="shared" si="0"/>
        <v>神奈川県横浜市西区みなとみらい3-5-1　ヨコハマﾋﾞﾙ</v>
      </c>
      <c r="B6" s="4" t="str">
        <f t="shared" si="0"/>
        <v>045-1234-５６７８</v>
      </c>
      <c r="C6" s="2" t="s">
        <v>3</v>
      </c>
      <c r="D6" s="2" t="s">
        <v>12</v>
      </c>
    </row>
    <row r="7" spans="1:5" ht="27" customHeight="1">
      <c r="A7" s="4" t="str">
        <f t="shared" si="0"/>
        <v>名古屋市中区錦1-1-1　ナゴヤグランドタワ-ナゴヤ</v>
      </c>
      <c r="B7" s="4" t="str">
        <f t="shared" si="0"/>
        <v>052－１２３４－５６７８</v>
      </c>
      <c r="C7" s="2" t="s">
        <v>20</v>
      </c>
      <c r="D7" s="2" t="s">
        <v>13</v>
      </c>
    </row>
    <row r="8" spans="1:5" ht="27" customHeight="1">
      <c r="A8" s="4" t="str">
        <f t="shared" si="0"/>
        <v>さいたま市大宮区桜木町1丁目1番地1号　OMIYA PLAZA</v>
      </c>
      <c r="B8" s="4" t="str">
        <f t="shared" si="0"/>
        <v>048-９８７６-1234</v>
      </c>
      <c r="C8" s="2" t="s">
        <v>4</v>
      </c>
      <c r="D8" s="2" t="s">
        <v>14</v>
      </c>
    </row>
    <row r="9" spans="1:5" ht="27" customHeight="1">
      <c r="A9" s="4" t="str">
        <f t="shared" si="0"/>
        <v>千葉県千葉市中央区富士見2丁目3-10　チバセンタ-</v>
      </c>
      <c r="B9" s="4" t="str">
        <f t="shared" si="0"/>
        <v>０４３-１２３-４５６７</v>
      </c>
      <c r="C9" s="2" t="s">
        <v>74</v>
      </c>
      <c r="D9" s="2" t="s">
        <v>15</v>
      </c>
    </row>
    <row r="10" spans="1:5" ht="27" customHeight="1">
      <c r="A10" s="4" t="str">
        <f t="shared" si="0"/>
        <v>京都府京都市下京区四条通烏丸東入長刀鉾町　ｷｮｳﾄビルディング</v>
      </c>
      <c r="B10" s="4" t="str">
        <f t="shared" si="0"/>
        <v>075-234-5678</v>
      </c>
      <c r="C10" s="2" t="s">
        <v>75</v>
      </c>
      <c r="D10" s="2" t="s">
        <v>16</v>
      </c>
    </row>
    <row r="11" spans="1:5" ht="27" customHeight="1">
      <c r="A11" s="4" t="str">
        <f t="shared" si="0"/>
        <v>広島県広島市中区紙屋町2丁目2番15号　ヒロシマタワ-</v>
      </c>
      <c r="B11" s="4" t="str">
        <f t="shared" si="0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tabSelected="1" zoomScale="190" zoomScaleNormal="190" workbookViewId="0">
      <selection activeCell="G2" sqref="G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38.140625" bestFit="1" customWidth="1"/>
    <col min="6" max="6" width="13.28515625" bestFit="1" customWidth="1"/>
    <col min="7" max="7" width="51.57031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1" t="s">
        <v>85</v>
      </c>
      <c r="F1" s="11"/>
      <c r="G1" s="10" t="s">
        <v>86</v>
      </c>
      <c r="I1" s="12" t="s">
        <v>87</v>
      </c>
      <c r="J1" s="12"/>
    </row>
    <row r="2" spans="1:10" ht="27" customHeight="1">
      <c r="A2" s="4" t="str">
        <f>I2</f>
        <v>東京都新宿区西新宿２丁目８－１　ＳＨＩＮＪＵＫＵタワ-</v>
      </c>
      <c r="B2" s="4" t="str">
        <f>J2</f>
        <v>03-1234-5678</v>
      </c>
      <c r="C2" s="2" t="s">
        <v>0</v>
      </c>
      <c r="D2" s="2" t="s">
        <v>8</v>
      </c>
      <c r="E2" t="str">
        <f>ASC(C2)</f>
        <v>東京都新宿区西新宿2丁目8-1 SHINJUKUﾀﾜｰ</v>
      </c>
      <c r="F2" t="str">
        <f>ASC(D2)</f>
        <v>03-1234-5678</v>
      </c>
      <c r="G2" t="str">
        <f>DBCS(E2)</f>
        <v>東京都新宿区西新宿２丁目８－１　ＳＨＩＮＪＵＫＵタワー</v>
      </c>
      <c r="H2" t="str">
        <f>F2</f>
        <v>03-1234-5678</v>
      </c>
      <c r="I2" t="str">
        <f>SUBSTITUTE(G2, "ー", "-")</f>
        <v>東京都新宿区西新宿２丁目８－１　ＳＨＩＮＪＵＫＵタワ-</v>
      </c>
      <c r="J2" t="str">
        <f>H2</f>
        <v>03-1234-5678</v>
      </c>
    </row>
    <row r="3" spans="1:10" ht="27" customHeight="1">
      <c r="A3" s="4" t="str">
        <f t="shared" ref="A3:A11" si="0">I3</f>
        <v>北海道札幌市中央区北３条西２丁目１番地　ホッカイドウビル</v>
      </c>
      <c r="B3" s="4" t="str">
        <f t="shared" ref="B3:B11" si="1">J3</f>
        <v>011-234-5678</v>
      </c>
      <c r="C3" s="2" t="s">
        <v>73</v>
      </c>
      <c r="D3" s="2" t="s">
        <v>9</v>
      </c>
      <c r="E3" t="str">
        <f t="shared" ref="E3:E11" si="2">ASC(C3)</f>
        <v>北海道札幌市中央区北3条西2丁目1番地 ﾎｯｶｲﾄﾞｳﾋﾞﾙ</v>
      </c>
      <c r="F3" t="str">
        <f t="shared" ref="F3:F11" si="3">ASC(D3)</f>
        <v>011-234-5678</v>
      </c>
      <c r="G3" t="str">
        <f t="shared" ref="G3:G11" si="4">DBCS(E3)</f>
        <v>北海道札幌市中央区北３条西２丁目１番地　ホッカイドウビル</v>
      </c>
      <c r="H3" t="str">
        <f t="shared" ref="H3:H11" si="5">F3</f>
        <v>011-234-5678</v>
      </c>
      <c r="I3" t="str">
        <f t="shared" ref="I3:I11" si="6">SUBSTITUTE(G3, "ー", "-")</f>
        <v>北海道札幌市中央区北３条西２丁目１番地　ホッカイドウビル</v>
      </c>
      <c r="J3" t="str">
        <f t="shared" ref="J3:J11" si="7">H3</f>
        <v>011-234-5678</v>
      </c>
    </row>
    <row r="4" spans="1:10" ht="27" customHeight="1">
      <c r="A4" s="4" t="str">
        <f t="shared" si="0"/>
        <v>大阪府大阪市北区梅田３－１－１　グランフロントＯＳＡＫＡ</v>
      </c>
      <c r="B4" s="4" t="str">
        <f t="shared" si="1"/>
        <v>06-6578-1234</v>
      </c>
      <c r="C4" s="2" t="s">
        <v>88</v>
      </c>
      <c r="D4" s="2" t="s">
        <v>10</v>
      </c>
      <c r="E4" t="str">
        <f t="shared" si="2"/>
        <v>大阪府大阪市北区梅田3-1-1 ｸﾞﾗﾝﾌﾛﾝﾄOSAKA</v>
      </c>
      <c r="F4" t="str">
        <f t="shared" si="3"/>
        <v>06-6578-1234</v>
      </c>
      <c r="G4" t="str">
        <f t="shared" si="4"/>
        <v>大阪府大阪市北区梅田３－１－１　グランフロントＯＳＡＫＡ</v>
      </c>
      <c r="H4" t="str">
        <f t="shared" si="5"/>
        <v>06-6578-1234</v>
      </c>
      <c r="I4" t="str">
        <f t="shared" si="6"/>
        <v>大阪府大阪市北区梅田３－１－１　グランフロントＯＳＡＫＡ</v>
      </c>
      <c r="J4" t="str">
        <f t="shared" si="7"/>
        <v>06-6578-1234</v>
      </c>
    </row>
    <row r="5" spans="1:10" ht="27" customHeight="1">
      <c r="A5" s="4" t="str">
        <f t="shared" si="0"/>
        <v>福岡市博多区博多駅前１-１-１　タワ-ハカタ</v>
      </c>
      <c r="B5" s="4" t="str">
        <f t="shared" si="1"/>
        <v>092ｰ234ｰ1234</v>
      </c>
      <c r="C5" s="2" t="s">
        <v>89</v>
      </c>
      <c r="D5" s="2" t="s">
        <v>11</v>
      </c>
      <c r="E5" t="str">
        <f t="shared" si="2"/>
        <v>福岡市博多区博多駅前1ｰ1ｰ1 ﾀﾜｰﾊｶﾀ</v>
      </c>
      <c r="F5" t="str">
        <f t="shared" si="3"/>
        <v>092ｰ234ｰ1234</v>
      </c>
      <c r="G5" t="str">
        <f t="shared" si="4"/>
        <v>福岡市博多区博多駅前１ー１ー１　タワーハカタ</v>
      </c>
      <c r="H5" t="str">
        <f t="shared" si="5"/>
        <v>092ｰ234ｰ1234</v>
      </c>
      <c r="I5" t="str">
        <f t="shared" si="6"/>
        <v>福岡市博多区博多駅前１-１-１　タワ-ハカタ</v>
      </c>
      <c r="J5" t="str">
        <f t="shared" si="7"/>
        <v>092ｰ234ｰ1234</v>
      </c>
    </row>
    <row r="6" spans="1:10" ht="27" customHeight="1">
      <c r="A6" s="4" t="str">
        <f t="shared" si="0"/>
        <v>神奈川県横浜市西区みなとみらい３－５－１　ヨコハマビル</v>
      </c>
      <c r="B6" s="4" t="str">
        <f t="shared" si="1"/>
        <v>045-1234-5678</v>
      </c>
      <c r="C6" s="2" t="s">
        <v>3</v>
      </c>
      <c r="D6" s="2" t="s">
        <v>12</v>
      </c>
      <c r="E6" t="str">
        <f t="shared" si="2"/>
        <v>神奈川県横浜市西区みなとみらい3-5-1 ﾖｺﾊﾏﾋﾞﾙ</v>
      </c>
      <c r="F6" t="str">
        <f t="shared" si="3"/>
        <v>045-1234-5678</v>
      </c>
      <c r="G6" t="str">
        <f t="shared" si="4"/>
        <v>神奈川県横浜市西区みなとみらい３－５－１　ヨコハマビル</v>
      </c>
      <c r="H6" t="str">
        <f t="shared" si="5"/>
        <v>045-1234-5678</v>
      </c>
      <c r="I6" t="str">
        <f t="shared" si="6"/>
        <v>神奈川県横浜市西区みなとみらい３－５－１　ヨコハマビル</v>
      </c>
      <c r="J6" t="str">
        <f t="shared" si="7"/>
        <v>045-1234-5678</v>
      </c>
    </row>
    <row r="7" spans="1:10" ht="27" customHeight="1">
      <c r="A7" s="4" t="str">
        <f t="shared" si="0"/>
        <v>名古屋市中区錦１－１－１　ナゴヤグランドタワ-ナゴヤ</v>
      </c>
      <c r="B7" s="4" t="str">
        <f t="shared" si="1"/>
        <v>052-1234-5678</v>
      </c>
      <c r="C7" s="2" t="s">
        <v>20</v>
      </c>
      <c r="D7" s="2" t="s">
        <v>13</v>
      </c>
      <c r="E7" t="str">
        <f t="shared" si="2"/>
        <v>名古屋市中区錦1-1-1 ﾅｺﾞﾔｸﾞﾗﾝﾄﾞﾀﾜｰﾅｺﾞﾔ</v>
      </c>
      <c r="F7" t="str">
        <f t="shared" si="3"/>
        <v>052-1234-5678</v>
      </c>
      <c r="G7" t="str">
        <f t="shared" si="4"/>
        <v>名古屋市中区錦１－１－１　ナゴヤグランドタワーナゴヤ</v>
      </c>
      <c r="H7" t="str">
        <f t="shared" si="5"/>
        <v>052-1234-5678</v>
      </c>
      <c r="I7" t="str">
        <f t="shared" si="6"/>
        <v>名古屋市中区錦１－１－１　ナゴヤグランドタワ-ナゴヤ</v>
      </c>
      <c r="J7" t="str">
        <f t="shared" si="7"/>
        <v>052-1234-5678</v>
      </c>
    </row>
    <row r="8" spans="1:10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048-9876-1234</v>
      </c>
      <c r="C8" s="2" t="s">
        <v>4</v>
      </c>
      <c r="D8" s="2" t="s">
        <v>14</v>
      </c>
      <c r="E8" t="str">
        <f t="shared" si="2"/>
        <v>さいたま市大宮区桜木町1丁目1番地1号 OMIYA PLAZA</v>
      </c>
      <c r="F8" t="str">
        <f t="shared" si="3"/>
        <v>048-9876-1234</v>
      </c>
      <c r="G8" t="str">
        <f t="shared" si="4"/>
        <v>さいたま市大宮区桜木町１丁目１番地１号　ＯＭＩＹＡ　ＰＬＡＺＡ</v>
      </c>
      <c r="H8" t="str">
        <f t="shared" si="5"/>
        <v>048-9876-1234</v>
      </c>
      <c r="I8" t="str">
        <f t="shared" si="6"/>
        <v>さいたま市大宮区桜木町１丁目１番地１号　ＯＭＩＹＡ　ＰＬＡＺＡ</v>
      </c>
      <c r="J8" t="str">
        <f t="shared" si="7"/>
        <v>048-9876-1234</v>
      </c>
    </row>
    <row r="9" spans="1:10" ht="27" customHeight="1">
      <c r="A9" s="4" t="str">
        <f t="shared" si="0"/>
        <v>千葉県千葉市中央区富士見２丁目３－１０　チバセンタ-</v>
      </c>
      <c r="B9" s="4" t="str">
        <f t="shared" si="1"/>
        <v>043ｰ123ｰ4567</v>
      </c>
      <c r="C9" s="2" t="s">
        <v>74</v>
      </c>
      <c r="D9" s="2" t="s">
        <v>15</v>
      </c>
      <c r="E9" t="str">
        <f t="shared" si="2"/>
        <v>千葉県千葉市中央区富士見2丁目3-10 ﾁﾊﾞｾﾝﾀｰ</v>
      </c>
      <c r="F9" t="str">
        <f t="shared" si="3"/>
        <v>043ｰ123ｰ4567</v>
      </c>
      <c r="G9" t="str">
        <f t="shared" si="4"/>
        <v>千葉県千葉市中央区富士見２丁目３－１０　チバセンター</v>
      </c>
      <c r="H9" t="str">
        <f t="shared" si="5"/>
        <v>043ｰ123ｰ4567</v>
      </c>
      <c r="I9" t="str">
        <f t="shared" si="6"/>
        <v>千葉県千葉市中央区富士見２丁目３－１０　チバセンタ-</v>
      </c>
      <c r="J9" t="str">
        <f t="shared" si="7"/>
        <v>043ｰ123ｰ4567</v>
      </c>
    </row>
    <row r="10" spans="1:10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075-234-5678</v>
      </c>
      <c r="C10" s="2" t="s">
        <v>75</v>
      </c>
      <c r="D10" s="2" t="s">
        <v>16</v>
      </c>
      <c r="E10" t="str">
        <f t="shared" si="2"/>
        <v>京都府京都市下京区四条通烏丸東入長刀鉾町 ｷｮｳﾄﾋﾞﾙﾃﾞｨﾝｸﾞ</v>
      </c>
      <c r="F10" t="str">
        <f t="shared" si="3"/>
        <v>075-234-5678</v>
      </c>
      <c r="G10" t="str">
        <f t="shared" si="4"/>
        <v>京都府京都市下京区四条通烏丸東入長刀鉾町　キョウトビルディング</v>
      </c>
      <c r="H10" t="str">
        <f t="shared" si="5"/>
        <v>075-234-5678</v>
      </c>
      <c r="I10" t="str">
        <f t="shared" si="6"/>
        <v>京都府京都市下京区四条通烏丸東入長刀鉾町　キョウトビルディング</v>
      </c>
      <c r="J10" t="str">
        <f t="shared" si="7"/>
        <v>075-234-5678</v>
      </c>
    </row>
    <row r="11" spans="1:10" ht="27" customHeight="1">
      <c r="A11" s="4" t="str">
        <f t="shared" si="0"/>
        <v>広島県広島市中区紙屋町２丁目２番１５号　ヒロシマタワ-</v>
      </c>
      <c r="B11" s="4" t="str">
        <f t="shared" si="1"/>
        <v>082-5678-1234</v>
      </c>
      <c r="C11" s="2" t="s">
        <v>5</v>
      </c>
      <c r="D11" s="2" t="s">
        <v>17</v>
      </c>
      <c r="E11" t="str">
        <f t="shared" si="2"/>
        <v>広島県広島市中区紙屋町2丁目2番15号 ﾋﾛｼﾏﾀﾜｰ</v>
      </c>
      <c r="F11" t="str">
        <f t="shared" si="3"/>
        <v>082-5678-1234</v>
      </c>
      <c r="G11" t="str">
        <f t="shared" si="4"/>
        <v>広島県広島市中区紙屋町２丁目２番１５号　ヒロシマタワー</v>
      </c>
      <c r="H11" t="str">
        <f t="shared" si="5"/>
        <v>082-5678-1234</v>
      </c>
      <c r="I11" t="str">
        <f t="shared" si="6"/>
        <v>広島県広島市中区紙屋町２丁目２番１５号　ヒロシマタワ-</v>
      </c>
      <c r="J11" t="str">
        <f t="shared" si="7"/>
        <v>082-5678-1234</v>
      </c>
    </row>
  </sheetData>
  <mergeCells count="2">
    <mergeCell ref="E1:F1"/>
    <mergeCell ref="I1:J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2" sqref="A2:B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NormalizeText(C2)</f>
        <v>#VALUE!</v>
      </c>
      <c r="B2" s="4" t="e" cm="1">
        <f t="array" ref="B2">NormalizeText(D2)</f>
        <v>#VALUE!</v>
      </c>
      <c r="C2" s="2" t="s">
        <v>0</v>
      </c>
      <c r="D2" s="2" t="s">
        <v>8</v>
      </c>
    </row>
    <row r="3" spans="1:4" ht="27" customHeight="1">
      <c r="A3" s="4" t="e" cm="1">
        <f t="array" ref="A3">NormalizeText(C3)</f>
        <v>#VALUE!</v>
      </c>
      <c r="B3" s="4" t="e" cm="1">
        <f t="array" ref="B3">NormalizeText(D3)</f>
        <v>#VALUE!</v>
      </c>
      <c r="C3" s="2" t="s">
        <v>73</v>
      </c>
      <c r="D3" s="2" t="s">
        <v>9</v>
      </c>
    </row>
    <row r="4" spans="1:4" ht="27" customHeight="1">
      <c r="A4" s="4" t="e" cm="1">
        <f t="array" ref="A4">NormalizeText(C4)</f>
        <v>#VALUE!</v>
      </c>
      <c r="B4" s="4" t="e" cm="1">
        <f t="array" ref="B4">NormalizeText(D4)</f>
        <v>#VALUE!</v>
      </c>
      <c r="C4" s="2" t="s">
        <v>1</v>
      </c>
      <c r="D4" s="2" t="s">
        <v>10</v>
      </c>
    </row>
    <row r="5" spans="1:4" ht="27" customHeight="1">
      <c r="A5" s="4" t="e" cm="1">
        <f t="array" ref="A5">NormalizeText(C5)</f>
        <v>#VALUE!</v>
      </c>
      <c r="B5" s="4" t="e" cm="1">
        <f t="array" ref="B5">NormalizeText(D5)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NormalizeText(C6)</f>
        <v>#VALUE!</v>
      </c>
      <c r="B6" s="4" t="e" cm="1">
        <f t="array" ref="B6">NormalizeText(D6)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NormalizeText(C7)</f>
        <v>#VALUE!</v>
      </c>
      <c r="B7" s="4" t="e" cm="1">
        <f t="array" ref="B7">NormalizeText(D7)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NormalizeText(C8)</f>
        <v>#VALUE!</v>
      </c>
      <c r="B8" s="4" t="e" cm="1">
        <f t="array" ref="B8">NormalizeText(D8)</f>
        <v>#VALUE!</v>
      </c>
      <c r="C8" s="2" t="s">
        <v>4</v>
      </c>
      <c r="D8" s="2" t="s">
        <v>14</v>
      </c>
    </row>
    <row r="9" spans="1:4" ht="27" customHeight="1">
      <c r="A9" s="4" t="e" cm="1">
        <f t="array" ref="A9">NormalizeText(C9)</f>
        <v>#VALUE!</v>
      </c>
      <c r="B9" s="4" t="e" cm="1">
        <f t="array" ref="B9">NormalizeText(D9)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NormalizeText(C10)</f>
        <v>#VALUE!</v>
      </c>
      <c r="B10" s="4" t="e" cm="1">
        <f t="array" ref="B10">NormalizeText(D10)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NormalizeText(C11)</f>
        <v>#VALUE!</v>
      </c>
      <c r="B11" s="4" t="e" cm="1">
        <f t="array" ref="B11">NormalizeText(D11)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91</v>
      </c>
      <c r="D3" s="2" t="s">
        <v>93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88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92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2025-01-23T16:02:19Z</dcterms:modified>
</cp:coreProperties>
</file>