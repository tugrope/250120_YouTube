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76005244-9262-624E-B09D-90D423A2610E}" xr6:coauthVersionLast="47" xr6:coauthVersionMax="47" xr10:uidLastSave="{00000000-0000-0000-0000-000000000000}"/>
  <bookViews>
    <workbookView xWindow="0" yWindow="18360" windowWidth="64000" windowHeight="17640" activeTab="12" xr2:uid="{B81BA0A3-71F8-624E-A3D5-0115DDCF4DDD}"/>
    <workbookView xWindow="0" yWindow="500" windowWidth="64000" windowHeight="17760" activeTab="4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module (8)" sheetId="23" r:id="rId16"/>
    <sheet name="方針0" sheetId="20" r:id="rId17"/>
    <sheet name="方針1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2" l="1" a="1"/>
  <c r="G3" i="22" s="1"/>
  <c r="G4" i="22" a="1"/>
  <c r="G4" i="22" s="1"/>
  <c r="G5" i="22" a="1"/>
  <c r="G5" i="22" s="1"/>
  <c r="G6" i="22" a="1"/>
  <c r="G6" i="22" s="1"/>
  <c r="G7" i="22" a="1"/>
  <c r="G7" i="22" s="1"/>
  <c r="G8" i="22" a="1"/>
  <c r="G8" i="22" s="1"/>
  <c r="G9" i="22" a="1"/>
  <c r="G9" i="22" s="1"/>
  <c r="G10" i="22" a="1"/>
  <c r="G10" i="22" s="1"/>
  <c r="G11" i="22" a="1"/>
  <c r="G11" i="22" s="1"/>
  <c r="G2" i="22" a="1"/>
  <c r="G2" i="22" s="1"/>
  <c r="E3" i="22" a="1"/>
  <c r="E3" i="22" s="1"/>
  <c r="F3" i="22" a="1"/>
  <c r="F3" i="22" s="1"/>
  <c r="E4" i="22" a="1"/>
  <c r="E4" i="22" s="1"/>
  <c r="F4" i="22" a="1"/>
  <c r="F4" i="22" s="1"/>
  <c r="E5" i="22" a="1"/>
  <c r="E5" i="22" s="1"/>
  <c r="F5" i="22" a="1"/>
  <c r="F5" i="22" s="1"/>
  <c r="E6" i="22" a="1"/>
  <c r="E6" i="22" s="1"/>
  <c r="F6" i="22" a="1"/>
  <c r="F6" i="22" s="1"/>
  <c r="E7" i="22" a="1"/>
  <c r="E7" i="22" s="1"/>
  <c r="F7" i="22" a="1"/>
  <c r="F7" i="22" s="1"/>
  <c r="E8" i="22" a="1"/>
  <c r="E8" i="22" s="1"/>
  <c r="F8" i="22" a="1"/>
  <c r="F8" i="22" s="1"/>
  <c r="E9" i="22" a="1"/>
  <c r="E9" i="22" s="1"/>
  <c r="F9" i="22" a="1"/>
  <c r="F9" i="22" s="1"/>
  <c r="E10" i="22" a="1"/>
  <c r="E10" i="22" s="1"/>
  <c r="F10" i="22" a="1"/>
  <c r="F10" i="22" s="1"/>
  <c r="E11" i="22" a="1"/>
  <c r="E11" i="22" s="1"/>
  <c r="F11" i="22" a="1"/>
  <c r="F11" i="22" s="1"/>
  <c r="F2" i="22" a="1"/>
  <c r="F2" i="22" s="1"/>
  <c r="E2" i="22" a="1"/>
  <c r="E2" i="22" s="1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A11" i="23" a="1"/>
  <c r="B7" i="23" a="1"/>
  <c r="B11" i="23" a="1"/>
  <c r="A4" i="23" a="1"/>
  <c r="A8" i="23" a="1"/>
  <c r="B4" i="23" a="1"/>
  <c r="B8" i="23" a="1"/>
  <c r="A5" i="23" a="1"/>
  <c r="A9" i="23" a="1"/>
  <c r="B5" i="23" a="1"/>
  <c r="B9" i="23" a="1"/>
  <c r="A6" i="23" a="1"/>
  <c r="A10" i="23" a="1"/>
  <c r="B6" i="23" a="1"/>
  <c r="B10" i="23" a="1"/>
  <c r="B3" i="23" a="1"/>
  <c r="B2" i="23" a="1"/>
  <c r="A2" i="23" a="1"/>
  <c r="A3" i="17" a="1"/>
  <c r="A7" i="17" a="1"/>
  <c r="A11" i="17" a="1"/>
  <c r="B3" i="17" a="1"/>
  <c r="B7" i="17" a="1"/>
  <c r="B11" i="17" a="1"/>
  <c r="A4" i="17" a="1"/>
  <c r="A8" i="17" a="1"/>
  <c r="B4" i="17" a="1"/>
  <c r="B8" i="17" a="1"/>
  <c r="A9" i="17" a="1"/>
  <c r="B5" i="17" a="1"/>
  <c r="B9" i="17" a="1"/>
  <c r="A6" i="17" a="1"/>
  <c r="A10" i="17" a="1"/>
  <c r="B6" i="17" a="1"/>
  <c r="B10" i="17" a="1"/>
  <c r="A5" i="17" a="1"/>
  <c r="B2" i="17" a="1"/>
  <c r="A2" i="17" a="1"/>
  <c r="A5" i="17" l="1"/>
  <c r="B10" i="17"/>
  <c r="B6" i="17"/>
  <c r="A10" i="17"/>
  <c r="A6" i="17"/>
  <c r="B9" i="17"/>
  <c r="B5" i="17"/>
  <c r="A9" i="17"/>
  <c r="B8" i="17"/>
  <c r="B4" i="17"/>
  <c r="A8" i="17"/>
  <c r="A4" i="17"/>
  <c r="B11" i="17"/>
  <c r="B7" i="17"/>
  <c r="B3" i="17"/>
  <c r="A11" i="17"/>
  <c r="A7" i="17"/>
  <c r="A3" i="17"/>
  <c r="B2" i="17"/>
  <c r="A2" i="17"/>
  <c r="B3" i="23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<sst xmlns="http://schemas.openxmlformats.org/spreadsheetml/2006/main" count="292" uniqueCount="96">
  <si>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</si>
  <si>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</si>
  <si>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</si>
  <si>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</si>
  <si>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</si>
  <si>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</si>
  <si>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</si>
  <si>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</si>
  <si>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</si>
  <si>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</si>
  <si>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</si>
  <si>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</si>
  <si>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</si>
  <si>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</si>
  <si>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</si>
  <si>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</si>
  <si>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</si>
  <si>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</si>
  <si>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</si>
  <si>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</si>
  <si>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</si>
  <si>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</si>
  <si>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</si>
  <si>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</si>
  <si>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</si>
  <si>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</si>
  <si>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</si>
  <si>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</si>
  <si>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</si>
  <si>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</si>
  <si>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</si>
  <si>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</si>
  <si>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</si>
  <si>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</si>
  <si>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</si>
  <si>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</si>
  <si>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</si>
  <si>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</si>
  <si>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</si>
  <si>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</si>
  <si>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</si>
  <si>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</si>
  <si>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</si>
  <si>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</si>
  <si>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</si>
  <si>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</si>
  <si>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</si>
  <si>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</si>
  <si>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</si>
  <si>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</si>
  <si>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</si>
  <si>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</si>
  <si>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</si>
  <si>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</si>
  <si>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</si>
  <si>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</si>
  <si>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</si>
  <si>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</si>
  <si>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</si>
  <si>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</si>
  <si>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</si>
  <si>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</si>
  <si>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</si>
  <si>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</si>
  <si>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</si>
  <si>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</si>
  <si>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</si>
  <si>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</si>
  <si>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</si>
  <si>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</si>
  <si>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</si>
  <si>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</si>
  <si>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</si>
  <si>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</si>
  <si>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</si>
  <si>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</si>
  <si>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</si>
  <si>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</si>
  <si>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</si>
  <si>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</si>
  <si>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</si>
  <si>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</si>
  <si>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</si>
  <si>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</si>
  <si>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</si>
  <si>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</si>
  <si>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カナ半角→全角</t>
    <rPh sb="2" eb="3">
      <t xml:space="preserve">ハｎ </t>
    </rPh>
    <rPh sb="3" eb="4">
      <t xml:space="preserve">ゼンカク </t>
    </rPh>
    <rPh sb="5" eb="6">
      <t xml:space="preserve">ゼン </t>
    </rPh>
    <rPh sb="6" eb="7">
      <t xml:space="preserve">ハンカク </t>
    </rPh>
    <phoneticPr fontId="1"/>
  </si>
  <si>
    <t>ハイフン全角→半角</t>
    <phoneticPr fontId="1"/>
  </si>
  <si>
    <t>大阪府大阪市北区梅田3－1－1　グランフロントOSAKA</t>
    <phoneticPr fontId="1"/>
  </si>
  <si>
    <t>福岡市博多区博多駅前1ー1ー1　ﾀﾜｰﾊｶﾀ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</si>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</sst>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32</xdr:row>
      <xdr:rowOff>76200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8204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・・全角の英数字を　半角の英数字にする。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b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</a:b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※macOS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で確実に動く関数を作る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全角英字を**半角英字に、**全角数字**を**半角数字**にする。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workbookViewId="1">
      <selection activeCell="E33" sqref="E33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abSelected="1" topLeftCell="A5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J11"/>
  <sheetViews>
    <sheetView topLeftCell="C1" zoomScale="190" zoomScaleNormal="190" workbookViewId="0">
      <selection activeCell="G3" sqref="G3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5.28515625" bestFit="1" customWidth="1"/>
    <col min="6" max="6" width="16" bestFit="1" customWidth="1"/>
    <col min="7" max="7" width="51.5703125" bestFit="1" customWidth="1"/>
    <col min="8" max="8" width="23.28515625" bestFit="1" customWidth="1"/>
    <col min="9" max="9" width="59.140625" bestFit="1" customWidth="1"/>
    <col min="10" max="10" width="13.28515625" bestFit="1" customWidth="1"/>
  </cols>
  <sheetData>
    <row r="1" spans="1:10" ht="53" customHeight="1">
      <c r="A1" s="3" t="s">
        <v>18</v>
      </c>
      <c r="B1" s="3" t="s">
        <v>19</v>
      </c>
      <c r="C1" s="1" t="s">
        <v>6</v>
      </c>
      <c r="D1" s="1" t="s">
        <v>7</v>
      </c>
      <c r="E1" s="11" t="s">
        <v>85</v>
      </c>
      <c r="F1" s="11"/>
      <c r="G1" s="10" t="s">
        <v>86</v>
      </c>
      <c r="I1" s="12" t="s">
        <v>87</v>
      </c>
      <c r="J1" s="12"/>
    </row>
    <row r="2" spans="1:10" ht="27" customHeight="1">
      <c r="A2" s="4"/>
      <c r="B2" s="4"/>
      <c r="C2" s="2" t="s">
        <v>0</v>
      </c>
      <c r="D2" s="2" t="s">
        <v>8</v>
      </c>
      <c r="E2" t="str" cm="1">
        <f t="array" ref="E2">_xlfn.TEXTJOIN(
    "",
    TRUE,
    IF(
        _xlfn.UNICODE(MID(C2, _xlfn.SEQUENCE(LEN(C2)), 1)) &gt;= 65296,
        IF(
            _xlfn.UNICODE(MID(C2, _xlfn.SEQUENCE(LEN(C2)), 1)) &lt;= 65370,
            CHAR(_xlfn.UNICODE(MID(C2, _xlfn.SEQUENCE(LEN(C2)), 1)) - 65248),
            MID(C2, _xlfn.SEQUENCE(LEN(C2)), 1)
        ),
        MID(C2, _xlfn.SEQUENCE(LEN(C2)), 1)
    )
)</f>
        <v>東京都新宿区西新宿2丁目8-1　SHINJUKUタワー</v>
      </c>
      <c r="F2" t="str" cm="1">
        <f t="array" ref="F2">_xlfn.TEXTJOIN(
    "",
    TRUE,
    IF(
        _xlfn.UNICODE(MID(D2, _xlfn.SEQUENCE(LEN(D2)), 1)) &gt;= 65296,
        IF(
            _xlfn.UNICODE(MID(D2, _xlfn.SEQUENCE(LEN(D2)), 1)) &lt;= 65370,
            CHAR(_xlfn.UNICODE(MID(D2, _xlfn.SEQUENCE(LEN(D2)), 1)) - 65248),
            MID(D2, _xlfn.SEQUENCE(LEN(D2)), 1)
        ),
        MID(D2, _xlfn.SEQUENCE(LEN(D2)), 1)
    )
)</f>
        <v>03-1234-5678</v>
      </c>
      <c r="G2" t="str" cm="1">
        <f t="array" ref="G2">_xlfn.TEXTJOIN(
    "",
    TRUE,
    IF(
        (_xlfn.UNICODE(MID(E2, _xlfn.SEQUENCE(LEN(E2)), 1)) &gt;= 65382) * (_xlfn.UNICODE(MID(E2, _xlfn.SEQUENCE(LEN(E2)), 1)) &lt;= 65437),
        CHAR(_xlfn.UNICODE(MID(E2, _xlfn.SEQUENCE(LEN(E2)), 1)) - 96),
        MID(E2, _xlfn.SEQUENCE(LEN(E2)), 1)
    )
)</f>
        <v>東京都新宿区西新宿2丁目8-1　SHINJUKUタワー</v>
      </c>
    </row>
    <row r="3" spans="1:10" ht="27" customHeight="1">
      <c r="A3" s="4"/>
      <c r="B3" s="4"/>
      <c r="C3" s="2" t="s">
        <v>73</v>
      </c>
      <c r="D3" s="2" t="s">
        <v>9</v>
      </c>
      <c r="E3" t="str" cm="1">
        <f t="array" ref="E3">_xlfn.TEXTJOIN(
    "",
    TRUE,
    IF(
        _xlfn.UNICODE(MID(C3, _xlfn.SEQUENCE(LEN(C3)), 1)) &gt;= 65296,
        IF(
            _xlfn.UNICODE(MID(C3, _xlfn.SEQUENCE(LEN(C3)), 1)) &lt;= 65370,
            CHAR(_xlfn.UNICODE(MID(C3, _xlfn.SEQUENCE(LEN(C3)), 1)) - 65248),
            MID(C3, _xlfn.SEQUENCE(LEN(C3)), 1)
        ),
        MID(C3, _xlfn.SEQUENCE(LEN(C3)), 1)
    )
)</f>
        <v>北海道札幌市中央区北3条西2丁目1番地　ﾎｯｶｲﾄﾞｳビル</v>
      </c>
      <c r="F3" t="str" cm="1">
        <f t="array" ref="F3">_xlfn.TEXTJOIN(
    "",
    TRUE,
    IF(
        _xlfn.UNICODE(MID(D3, _xlfn.SEQUENCE(LEN(D3)), 1)) &gt;= 65296,
        IF(
            _xlfn.UNICODE(MID(D3, _xlfn.SEQUENCE(LEN(D3)), 1)) &lt;= 65370,
            CHAR(_xlfn.UNICODE(MID(D3, _xlfn.SEQUENCE(LEN(D3)), 1)) - 65248),
            MID(D3, _xlfn.SEQUENCE(LEN(D3)), 1)
        ),
        MID(D3, _xlfn.SEQUENCE(LEN(D3)), 1)
    )
)</f>
        <v>011－234－5678</v>
      </c>
      <c r="G3" t="e" cm="1">
        <f t="array" ref="G3">_xlfn.TEXTJOIN(
    "",
    TRUE,
    IF(
        (_xlfn.UNICODE(MID(E3, _xlfn.SEQUENCE(LEN(E3)), 1)) &gt;= 65382) * (_xlfn.UNICODE(MID(E3, _xlfn.SEQUENCE(LEN(E3)), 1)) &lt;= 65437),
        CHAR(_xlfn.UNICODE(MID(E3, _xlfn.SEQUENCE(LEN(E3)), 1)) - 96),
        MID(E3, _xlfn.SEQUENCE(LEN(E3)), 1)
    )
)</f>
        <v>#VALUE!</v>
      </c>
    </row>
    <row r="4" spans="1:10" ht="27" customHeight="1">
      <c r="A4" s="4"/>
      <c r="B4" s="4"/>
      <c r="C4" s="2" t="s">
        <v>88</v>
      </c>
      <c r="D4" s="2" t="s">
        <v>10</v>
      </c>
      <c r="E4" t="str" cm="1">
        <f t="array" ref="E4">_xlfn.TEXTJOIN(
    "",
    TRUE,
    IF(
        _xlfn.UNICODE(MID(C4, _xlfn.SEQUENCE(LEN(C4)), 1)) &gt;= 65296,
        IF(
            _xlfn.UNICODE(MID(C4, _xlfn.SEQUENCE(LEN(C4)), 1)) &lt;= 65370,
            CHAR(_xlfn.UNICODE(MID(C4, _xlfn.SEQUENCE(LEN(C4)), 1)) - 65248),
            MID(C4, _xlfn.SEQUENCE(LEN(C4)), 1)
        ),
        MID(C4, _xlfn.SEQUENCE(LEN(C4)), 1)
    )
)</f>
        <v>大阪府大阪市北区梅田3－1－1　グランフロントOSAKA</v>
      </c>
      <c r="F4" t="str" cm="1">
        <f t="array" ref="F4">_xlfn.TEXTJOIN(
    "",
    TRUE,
    IF(
        _xlfn.UNICODE(MID(D4, _xlfn.SEQUENCE(LEN(D4)), 1)) &gt;= 65296,
        IF(
            _xlfn.UNICODE(MID(D4, _xlfn.SEQUENCE(LEN(D4)), 1)) &lt;= 65370,
            CHAR(_xlfn.UNICODE(MID(D4, _xlfn.SEQUENCE(LEN(D4)), 1)) - 65248),
            MID(D4, _xlfn.SEQUENCE(LEN(D4)), 1)
        ),
        MID(D4, _xlfn.SEQUENCE(LEN(D4)), 1)
    )
)</f>
        <v>06-6578-1234</v>
      </c>
      <c r="G4" t="str" cm="1">
        <f t="array" ref="G4">_xlfn.TEXTJOIN(
    "",
    TRUE,
    IF(
        (_xlfn.UNICODE(MID(E4, _xlfn.SEQUENCE(LEN(E4)), 1)) &gt;= 65382) * (_xlfn.UNICODE(MID(E4, _xlfn.SEQUENCE(LEN(E4)), 1)) &lt;= 65437),
        CHAR(_xlfn.UNICODE(MID(E4, _xlfn.SEQUENCE(LEN(E4)), 1)) - 96),
        MID(E4, _xlfn.SEQUENCE(LEN(E4)), 1)
    )
)</f>
        <v>大阪府大阪市北区梅田3－1－1　グランフロントOSAKA</v>
      </c>
    </row>
    <row r="5" spans="1:10" ht="27" customHeight="1">
      <c r="A5" s="4"/>
      <c r="B5" s="4"/>
      <c r="C5" s="2" t="s">
        <v>89</v>
      </c>
      <c r="D5" s="2" t="s">
        <v>11</v>
      </c>
      <c r="E5" t="str" cm="1">
        <f t="array" ref="E5">_xlfn.TEXTJOIN(
    "",
    TRUE,
    IF(
        _xlfn.UNICODE(MID(C5, _xlfn.SEQUENCE(LEN(C5)), 1)) &gt;= 65296,
        IF(
            _xlfn.UNICODE(MID(C5, _xlfn.SEQUENCE(LEN(C5)), 1)) &lt;= 65370,
            CHAR(_xlfn.UNICODE(MID(C5, _xlfn.SEQUENCE(LEN(C5)), 1)) - 65248),
            MID(C5, _xlfn.SEQUENCE(LEN(C5)), 1)
        ),
        MID(C5, _xlfn.SEQUENCE(LEN(C5)), 1)
    )
)</f>
        <v>福岡市博多区博多駅前1ー1ー1　ﾀﾜｰﾊｶﾀ</v>
      </c>
      <c r="F5" t="str" cm="1">
        <f t="array" ref="F5">_xlfn.TEXTJOIN(
    "",
    TRUE,
    IF(
        _xlfn.UNICODE(MID(D5, _xlfn.SEQUENCE(LEN(D5)), 1)) &gt;= 65296,
        IF(
            _xlfn.UNICODE(MID(D5, _xlfn.SEQUENCE(LEN(D5)), 1)) &lt;= 65370,
            CHAR(_xlfn.UNICODE(MID(D5, _xlfn.SEQUENCE(LEN(D5)), 1)) - 65248),
            MID(D5, _xlfn.SEQUENCE(LEN(D5)), 1)
        ),
        MID(D5, _xlfn.SEQUENCE(LEN(D5)), 1)
    )
)</f>
        <v>092ー234ー1234</v>
      </c>
      <c r="G5" t="e" cm="1">
        <f t="array" ref="G5">_xlfn.TEXTJOIN(
    "",
    TRUE,
    IF(
        (_xlfn.UNICODE(MID(E5, _xlfn.SEQUENCE(LEN(E5)), 1)) &gt;= 65382) * (_xlfn.UNICODE(MID(E5, _xlfn.SEQUENCE(LEN(E5)), 1)) &lt;= 65437),
        CHAR(_xlfn.UNICODE(MID(E5, _xlfn.SEQUENCE(LEN(E5)), 1)) - 96),
        MID(E5, _xlfn.SEQUENCE(LEN(E5)), 1)
    )
)</f>
        <v>#VALUE!</v>
      </c>
    </row>
    <row r="6" spans="1:10" ht="27" customHeight="1">
      <c r="A6" s="4"/>
      <c r="B6" s="4"/>
      <c r="C6" s="2" t="s">
        <v>3</v>
      </c>
      <c r="D6" s="2" t="s">
        <v>12</v>
      </c>
      <c r="E6" t="str" cm="1">
        <f t="array" ref="E6">_xlfn.TEXTJOIN(
    "",
    TRUE,
    IF(
        _xlfn.UNICODE(MID(C6, _xlfn.SEQUENCE(LEN(C6)), 1)) &gt;= 65296,
        IF(
            _xlfn.UNICODE(MID(C6, _xlfn.SEQUENCE(LEN(C6)), 1)) &lt;= 65370,
            CHAR(_xlfn.UNICODE(MID(C6, _xlfn.SEQUENCE(LEN(C6)), 1)) - 65248),
            MID(C6, _xlfn.SEQUENCE(LEN(C6)), 1)
        ),
        MID(C6, _xlfn.SEQUENCE(LEN(C6)), 1)
    )
)</f>
        <v>神奈川県横浜市西区みなとみらい3-5-1　ヨコハマﾋﾞﾙ</v>
      </c>
      <c r="F6" t="str" cm="1">
        <f t="array" ref="F6">_xlfn.TEXTJOIN(
    "",
    TRUE,
    IF(
        _xlfn.UNICODE(MID(D6, _xlfn.SEQUENCE(LEN(D6)), 1)) &gt;= 65296,
        IF(
            _xlfn.UNICODE(MID(D6, _xlfn.SEQUENCE(LEN(D6)), 1)) &lt;= 65370,
            CHAR(_xlfn.UNICODE(MID(D6, _xlfn.SEQUENCE(LEN(D6)), 1)) - 65248),
            MID(D6, _xlfn.SEQUENCE(LEN(D6)), 1)
        ),
        MID(D6, _xlfn.SEQUENCE(LEN(D6)), 1)
    )
)</f>
        <v>045-1234-5678</v>
      </c>
      <c r="G6" t="e" cm="1">
        <f t="array" ref="G6">_xlfn.TEXTJOIN(
    "",
    TRUE,
    IF(
        (_xlfn.UNICODE(MID(E6, _xlfn.SEQUENCE(LEN(E6)), 1)) &gt;= 65382) * (_xlfn.UNICODE(MID(E6, _xlfn.SEQUENCE(LEN(E6)), 1)) &lt;= 65437),
        CHAR(_xlfn.UNICODE(MID(E6, _xlfn.SEQUENCE(LEN(E6)), 1)) - 96),
        MID(E6, _xlfn.SEQUENCE(LEN(E6)), 1)
    )
)</f>
        <v>#VALUE!</v>
      </c>
    </row>
    <row r="7" spans="1:10" ht="27" customHeight="1">
      <c r="A7" s="4"/>
      <c r="B7" s="4"/>
      <c r="C7" s="2" t="s">
        <v>20</v>
      </c>
      <c r="D7" s="2" t="s">
        <v>13</v>
      </c>
      <c r="E7" t="str" cm="1">
        <f t="array" ref="E7">_xlfn.TEXTJOIN(
    "",
    TRUE,
    IF(
        _xlfn.UNICODE(MID(C7, _xlfn.SEQUENCE(LEN(C7)), 1)) &gt;= 65296,
        IF(
            _xlfn.UNICODE(MID(C7, _xlfn.SEQUENCE(LEN(C7)), 1)) &lt;= 65370,
            CHAR(_xlfn.UNICODE(MID(C7, _xlfn.SEQUENCE(LEN(C7)), 1)) - 65248),
            MID(C7, _xlfn.SEQUENCE(LEN(C7)), 1)
        ),
        MID(C7, _xlfn.SEQUENCE(LEN(C7)), 1)
    )
)</f>
        <v>名古屋市中区錦1-1-1　ナゴヤグランドタワーナゴヤ</v>
      </c>
      <c r="F7" t="str" cm="1">
        <f t="array" ref="F7">_xlfn.TEXTJOIN(
    "",
    TRUE,
    IF(
        _xlfn.UNICODE(MID(D7, _xlfn.SEQUENCE(LEN(D7)), 1)) &gt;= 65296,
        IF(
            _xlfn.UNICODE(MID(D7, _xlfn.SEQUENCE(LEN(D7)), 1)) &lt;= 65370,
            CHAR(_xlfn.UNICODE(MID(D7, _xlfn.SEQUENCE(LEN(D7)), 1)) - 65248),
            MID(D7, _xlfn.SEQUENCE(LEN(D7)), 1)
        ),
        MID(D7, _xlfn.SEQUENCE(LEN(D7)), 1)
    )
)</f>
        <v>052－1234－5678</v>
      </c>
      <c r="G7" t="str" cm="1">
        <f t="array" ref="G7">_xlfn.TEXTJOIN(
    "",
    TRUE,
    IF(
        (_xlfn.UNICODE(MID(E7, _xlfn.SEQUENCE(LEN(E7)), 1)) &gt;= 65382) * (_xlfn.UNICODE(MID(E7, _xlfn.SEQUENCE(LEN(E7)), 1)) &lt;= 65437),
        CHAR(_xlfn.UNICODE(MID(E7, _xlfn.SEQUENCE(LEN(E7)), 1)) - 96),
        MID(E7, _xlfn.SEQUENCE(LEN(E7)), 1)
    )
)</f>
        <v>名古屋市中区錦1-1-1　ナゴヤグランドタワーナゴヤ</v>
      </c>
    </row>
    <row r="8" spans="1:10" ht="27" customHeight="1">
      <c r="A8" s="4"/>
      <c r="B8" s="4"/>
      <c r="C8" s="2" t="s">
        <v>4</v>
      </c>
      <c r="D8" s="2" t="s">
        <v>14</v>
      </c>
      <c r="E8" t="str" cm="1">
        <f t="array" ref="E8">_xlfn.TEXTJOIN(
    "",
    TRUE,
    IF(
        _xlfn.UNICODE(MID(C8, _xlfn.SEQUENCE(LEN(C8)), 1)) &gt;= 65296,
        IF(
            _xlfn.UNICODE(MID(C8, _xlfn.SEQUENCE(LEN(C8)), 1)) &lt;= 65370,
            CHAR(_xlfn.UNICODE(MID(C8, _xlfn.SEQUENCE(LEN(C8)), 1)) - 65248),
            MID(C8, _xlfn.SEQUENCE(LEN(C8)), 1)
        ),
        MID(C8, _xlfn.SEQUENCE(LEN(C8)), 1)
    )
)</f>
        <v>さいたま市大宮区桜木町1丁目1番地1号　OMIYA PLAZA</v>
      </c>
      <c r="F8" t="str" cm="1">
        <f t="array" ref="F8">_xlfn.TEXTJOIN(
    "",
    TRUE,
    IF(
        _xlfn.UNICODE(MID(D8, _xlfn.SEQUENCE(LEN(D8)), 1)) &gt;= 65296,
        IF(
            _xlfn.UNICODE(MID(D8, _xlfn.SEQUENCE(LEN(D8)), 1)) &lt;= 65370,
            CHAR(_xlfn.UNICODE(MID(D8, _xlfn.SEQUENCE(LEN(D8)), 1)) - 65248),
            MID(D8, _xlfn.SEQUENCE(LEN(D8)), 1)
        ),
        MID(D8, _xlfn.SEQUENCE(LEN(D8)), 1)
    )
)</f>
        <v>048-9876-1234</v>
      </c>
      <c r="G8" t="str" cm="1">
        <f t="array" ref="G8">_xlfn.TEXTJOIN(
    "",
    TRUE,
    IF(
        (_xlfn.UNICODE(MID(E8, _xlfn.SEQUENCE(LEN(E8)), 1)) &gt;= 65382) * (_xlfn.UNICODE(MID(E8, _xlfn.SEQUENCE(LEN(E8)), 1)) &lt;= 65437),
        CHAR(_xlfn.UNICODE(MID(E8, _xlfn.SEQUENCE(LEN(E8)), 1)) - 96),
        MID(E8, _xlfn.SEQUENCE(LEN(E8)), 1)
    )
)</f>
        <v>さいたま市大宮区桜木町1丁目1番地1号　OMIYA PLAZA</v>
      </c>
    </row>
    <row r="9" spans="1:10" ht="27" customHeight="1">
      <c r="A9" s="4"/>
      <c r="B9" s="4"/>
      <c r="C9" s="2" t="s">
        <v>74</v>
      </c>
      <c r="D9" s="2" t="s">
        <v>15</v>
      </c>
      <c r="E9" t="str" cm="1">
        <f t="array" ref="E9">_xlfn.TEXTJOIN(
    "",
    TRUE,
    IF(
        _xlfn.UNICODE(MID(C9, _xlfn.SEQUENCE(LEN(C9)), 1)) &gt;= 65296,
        IF(
            _xlfn.UNICODE(MID(C9, _xlfn.SEQUENCE(LEN(C9)), 1)) &lt;= 65370,
            CHAR(_xlfn.UNICODE(MID(C9, _xlfn.SEQUENCE(LEN(C9)), 1)) - 65248),
            MID(C9, _xlfn.SEQUENCE(LEN(C9)), 1)
        ),
        MID(C9, _xlfn.SEQUENCE(LEN(C9)), 1)
    )
)</f>
        <v>千葉県千葉市中央区富士見2丁目3-10　チバセンター</v>
      </c>
      <c r="F9" t="str" cm="1">
        <f t="array" ref="F9">_xlfn.TEXTJOIN(
    "",
    TRUE,
    IF(
        _xlfn.UNICODE(MID(D9, _xlfn.SEQUENCE(LEN(D9)), 1)) &gt;= 65296,
        IF(
            _xlfn.UNICODE(MID(D9, _xlfn.SEQUENCE(LEN(D9)), 1)) &lt;= 65370,
            CHAR(_xlfn.UNICODE(MID(D9, _xlfn.SEQUENCE(LEN(D9)), 1)) - 65248),
            MID(D9, _xlfn.SEQUENCE(LEN(D9)), 1)
        ),
        MID(D9, _xlfn.SEQUENCE(LEN(D9)), 1)
    )
)</f>
        <v>043ー123ー4567</v>
      </c>
      <c r="G9" t="str" cm="1">
        <f t="array" ref="G9">_xlfn.TEXTJOIN(
    "",
    TRUE,
    IF(
        (_xlfn.UNICODE(MID(E9, _xlfn.SEQUENCE(LEN(E9)), 1)) &gt;= 65382) * (_xlfn.UNICODE(MID(E9, _xlfn.SEQUENCE(LEN(E9)), 1)) &lt;= 65437),
        CHAR(_xlfn.UNICODE(MID(E9, _xlfn.SEQUENCE(LEN(E9)), 1)) - 96),
        MID(E9, _xlfn.SEQUENCE(LEN(E9)), 1)
    )
)</f>
        <v>千葉県千葉市中央区富士見2丁目3-10　チバセンター</v>
      </c>
    </row>
    <row r="10" spans="1:10" ht="27" customHeight="1">
      <c r="A10" s="4"/>
      <c r="B10" s="4"/>
      <c r="C10" s="2" t="s">
        <v>75</v>
      </c>
      <c r="D10" s="2" t="s">
        <v>16</v>
      </c>
      <c r="E10" t="str" cm="1">
        <f t="array" ref="E10">_xlfn.TEXTJOIN(
    "",
    TRUE,
    IF(
        _xlfn.UNICODE(MID(C10, _xlfn.SEQUENCE(LEN(C10)), 1)) &gt;= 65296,
        IF(
            _xlfn.UNICODE(MID(C10, _xlfn.SEQUENCE(LEN(C10)), 1)) &lt;= 65370,
            CHAR(_xlfn.UNICODE(MID(C10, _xlfn.SEQUENCE(LEN(C10)), 1)) - 65248),
            MID(C10, _xlfn.SEQUENCE(LEN(C10)), 1)
        ),
        MID(C10, _xlfn.SEQUENCE(LEN(C10)), 1)
    )
)</f>
        <v>京都府京都市下京区四条通烏丸東入長刀鉾町　ｷｮｳﾄビルディング</v>
      </c>
      <c r="F10" t="str" cm="1">
        <f t="array" ref="F10">_xlfn.TEXTJOIN(
    "",
    TRUE,
    IF(
        _xlfn.UNICODE(MID(D10, _xlfn.SEQUENCE(LEN(D10)), 1)) &gt;= 65296,
        IF(
            _xlfn.UNICODE(MID(D10, _xlfn.SEQUENCE(LEN(D10)), 1)) &lt;= 65370,
            CHAR(_xlfn.UNICODE(MID(D10, _xlfn.SEQUENCE(LEN(D10)), 1)) - 65248),
            MID(D10, _xlfn.SEQUENCE(LEN(D10)), 1)
        ),
        MID(D10, _xlfn.SEQUENCE(LEN(D10)), 1)
    )
)</f>
        <v>075-234-5678</v>
      </c>
      <c r="G10" t="e" cm="1">
        <f t="array" ref="G10">_xlfn.TEXTJOIN(
    "",
    TRUE,
    IF(
        (_xlfn.UNICODE(MID(E10, _xlfn.SEQUENCE(LEN(E10)), 1)) &gt;= 65382) * (_xlfn.UNICODE(MID(E10, _xlfn.SEQUENCE(LEN(E10)), 1)) &lt;= 65437),
        CHAR(_xlfn.UNICODE(MID(E10, _xlfn.SEQUENCE(LEN(E10)), 1)) - 96),
        MID(E10, _xlfn.SEQUENCE(LEN(E10)), 1)
    )
)</f>
        <v>#VALUE!</v>
      </c>
    </row>
    <row r="11" spans="1:10" ht="27" customHeight="1">
      <c r="A11" s="4"/>
      <c r="B11" s="4"/>
      <c r="C11" s="2" t="s">
        <v>5</v>
      </c>
      <c r="D11" s="2" t="s">
        <v>17</v>
      </c>
      <c r="E11" t="str" cm="1">
        <f t="array" ref="E11">_xlfn.TEXTJOIN(
    "",
    TRUE,
    IF(
        _xlfn.UNICODE(MID(C11, _xlfn.SEQUENCE(LEN(C11)), 1)) &gt;= 65296,
        IF(
            _xlfn.UNICODE(MID(C11, _xlfn.SEQUENCE(LEN(C11)), 1)) &lt;= 65370,
            CHAR(_xlfn.UNICODE(MID(C11, _xlfn.SEQUENCE(LEN(C11)), 1)) - 65248),
            MID(C11, _xlfn.SEQUENCE(LEN(C11)), 1)
        ),
        MID(C11, _xlfn.SEQUENCE(LEN(C11)), 1)
    )
)</f>
        <v>広島県広島市中区紙屋町2丁目2番15号　ヒロシマタワー</v>
      </c>
      <c r="F11" t="str" cm="1">
        <f t="array" ref="F11">_xlfn.TEXTJOIN(
    "",
    TRUE,
    IF(
        _xlfn.UNICODE(MID(D11, _xlfn.SEQUENCE(LEN(D11)), 1)) &gt;= 65296,
        IF(
            _xlfn.UNICODE(MID(D11, _xlfn.SEQUENCE(LEN(D11)), 1)) &lt;= 65370,
            CHAR(_xlfn.UNICODE(MID(D11, _xlfn.SEQUENCE(LEN(D11)), 1)) - 65248),
            MID(D11, _xlfn.SEQUENCE(LEN(D11)), 1)
        ),
        MID(D11, _xlfn.SEQUENCE(LEN(D11)), 1)
    )
)</f>
        <v>082－5678－1234</v>
      </c>
      <c r="G11" t="str" cm="1">
        <f t="array" ref="G11">_xlfn.TEXTJOIN(
    "",
    TRUE,
    IF(
        (_xlfn.UNICODE(MID(E11, _xlfn.SEQUENCE(LEN(E11)), 1)) &gt;= 65382) * (_xlfn.UNICODE(MID(E11, _xlfn.SEQUENCE(LEN(E11)), 1)) &lt;= 65437),
        CHAR(_xlfn.UNICODE(MID(E11, _xlfn.SEQUENCE(LEN(E11)), 1)) - 96),
        MID(E11, _xlfn.SEQUENCE(LEN(E11)), 1)
    )
)</f>
        <v>広島県広島市中区紙屋町2丁目2番15号　ヒロシマタワー</v>
      </c>
    </row>
  </sheetData>
  <mergeCells count="2">
    <mergeCell ref="E1:F1"/>
    <mergeCell ref="I1:J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tabSelected="1" zoomScale="190" zoomScaleNormal="190" workbookViewId="0">
      <selection activeCell="A6" sqref="A6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94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011－234－5678</v>
      </c>
      <c r="C3" s="2" t="s">
        <v>73</v>
      </c>
      <c r="D3" s="2" t="s">
        <v>9</v>
      </c>
    </row>
    <row r="4" spans="1:4" ht="27" customHeight="1">
      <c r="A4" s="4" t="str" cm="1">
        <f t="array" ref="A4">NormalizeJapaneseText(C4)</f>
        <v>大阪府大阪市北区梅田3－1－1 グランフロントOSAKA</v>
      </c>
      <c r="B4" s="4" t="str" cm="1">
        <f t="array" ref="B4">NormalizeJapaneseText(D4)</f>
        <v>06-6578-1234</v>
      </c>
      <c r="C4" s="2" t="s">
        <v>1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95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052－1234－5678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082－5678－1234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ホッカイトﾞウビル</v>
      </c>
      <c r="B3" s="4" t="str" cm="1">
        <f t="array" ref="B3">NormalizeJapaneseText(D3)</f>
        <v>011-234-5678</v>
      </c>
      <c r="C3" s="2" t="s">
        <v>91</v>
      </c>
      <c r="D3" s="2" t="s">
        <v>93</v>
      </c>
    </row>
    <row r="4" spans="1:4" ht="27" customHeight="1">
      <c r="A4" s="4" t="str" cm="1">
        <f t="array" ref="A4">NormalizeJapaneseText(C4)</f>
        <v>大阪府大阪市北区梅田3-1-1 グランフロントOSAKA</v>
      </c>
      <c r="B4" s="4" t="str" cm="1">
        <f t="array" ref="B4">NormalizeJapaneseText(D4)</f>
        <v>06-6578-1234</v>
      </c>
      <c r="C4" s="2" t="s">
        <v>88</v>
      </c>
      <c r="D4" s="2" t="s">
        <v>10</v>
      </c>
    </row>
    <row r="5" spans="1:4" ht="27" customHeight="1">
      <c r="A5" s="4" t="str" cm="1">
        <f t="array" ref="A5">NormalizeJapaneseText(C5)</f>
        <v>福岡市博多区博多駅前1-1-1 タワーハカタ</v>
      </c>
      <c r="B5" s="4" t="str" cm="1">
        <f t="array" ref="B5">NormalizeJapaneseText(D5)</f>
        <v>092-234-1234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ヨコハマヒﾞル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92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2025-01-23T22:54:23Z</dcterms:modified>
</cp:coreProperties>
</file>