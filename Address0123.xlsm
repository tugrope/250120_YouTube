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9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Tugrope/imac_★★進行中★★/GitHub_iMac/250120_YouTube/"/>
    </mc:Choice>
  </mc:AlternateContent>
  <xr:revisionPtr revIDLastSave="0" documentId="13_ncr:1_{D2597015-76CC-5046-9259-AF82D1E5A021}" xr6:coauthVersionLast="47" xr6:coauthVersionMax="47" xr10:uidLastSave="{00000000-0000-0000-0000-000000000000}"/>
  <bookViews>
    <workbookView xWindow="0" yWindow="13240" windowWidth="51060" windowHeight="15560" activeTab="12" xr2:uid="{B81BA0A3-71F8-624E-A3D5-0115DDCF4DDD}"/>
    <workbookView xWindow="0" yWindow="500" windowWidth="51180" windowHeight="23260" activeTab="3" xr2:uid="{F9CC5308-8A76-F14E-A5CA-2FCAFA91810A}"/>
  </bookViews>
  <sheets>
    <sheet name="P1_都道府県削除" sheetId="8" r:id="rId1"/>
    <sheet name="P２_都道府県削除" sheetId="2" r:id="rId2"/>
    <sheet name="P３_都道府県削除" sheetId="3" r:id="rId3"/>
    <sheet name="P4_全角半角" sheetId="4" r:id="rId4"/>
    <sheet name="P5_全角半角" sheetId="5" r:id="rId5"/>
    <sheet name="P6_全角半角" sheetId="6" r:id="rId6"/>
    <sheet name="P7_マージ" sheetId="7" r:id="rId7"/>
    <sheet name="module (1)" sheetId="9" r:id="rId8"/>
    <sheet name="module (2)" sheetId="14" r:id="rId9"/>
    <sheet name="module (3)" sheetId="15" r:id="rId10"/>
    <sheet name="module (4-1)" sheetId="16" r:id="rId11"/>
    <sheet name="module (4-2)" sheetId="22" r:id="rId12"/>
    <sheet name="module (4-3) " sheetId="25" r:id="rId13"/>
    <sheet name="module (5)" sheetId="17" r:id="rId14"/>
    <sheet name="module (9)" sheetId="26" r:id="rId15"/>
    <sheet name="module (6)" sheetId="18" r:id="rId16"/>
    <sheet name="module (7)" sheetId="19" r:id="rId17"/>
    <sheet name="module (8)" sheetId="23" r:id="rId18"/>
    <sheet name="方針0" sheetId="20" r:id="rId19"/>
    <sheet name="方針1" sheetId="21" r:id="rId20"/>
  </sheets>
  <functionGroups builtInGroupCount="19"/>
  <definedNames>
    <definedName name="_xleta.AND" hidden="1" xlm="1">#NAME?</definedName>
    <definedName name="_xlpm.chars" hidden="1" xlm="1">#NAME?</definedName>
    <definedName name="_xlpm.codes" hidden="1" xlm="1">#NAME?</definedName>
    <definedName name="_xlpm.isAlnum" hidden="1" xlm="1">#NAME?</definedName>
    <definedName name="_xlpm.isHyphen" hidden="1" xlm="1">#NAME?</definedName>
    <definedName name="_xlpm.len" hidden="1" xlm="1">#NAME?</definedName>
    <definedName name="_xlpm.result" hidden="1" xlm="1">#NAME?</definedName>
    <definedName name="_xlpm.te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6" i="25" l="1" a="1"/>
  <c r="A6" i="25" s="1"/>
  <c r="A7" i="25" a="1"/>
  <c r="A7" i="25" s="1"/>
  <c r="A8" i="25" a="1"/>
  <c r="A8" i="25" s="1"/>
  <c r="A9" i="25" a="1"/>
  <c r="A9" i="25" s="1"/>
  <c r="A10" i="25" a="1"/>
  <c r="A10" i="25" s="1"/>
  <c r="A11" i="25" a="1"/>
  <c r="A11" i="25" s="1"/>
  <c r="A2" i="25" a="1"/>
  <c r="A2" i="25" s="1"/>
  <c r="A3" i="25" a="1"/>
  <c r="A3" i="25" s="1"/>
  <c r="A4" i="25" a="1"/>
  <c r="A4" i="25" s="1"/>
  <c r="A5" i="25" a="1"/>
  <c r="A5" i="25" s="1"/>
  <c r="A3" i="17" a="1"/>
  <c r="A7" i="17" a="1"/>
  <c r="A11" i="17" a="1"/>
  <c r="B3" i="17" a="1"/>
  <c r="B7" i="17" a="1"/>
  <c r="B11" i="17" a="1"/>
  <c r="A4" i="17" a="1"/>
  <c r="A8" i="17" a="1"/>
  <c r="B4" i="17" a="1"/>
  <c r="B8" i="17" a="1"/>
  <c r="A5" i="17" a="1"/>
  <c r="A9" i="17" a="1"/>
  <c r="B5" i="17" a="1"/>
  <c r="B9" i="17" a="1"/>
  <c r="A6" i="17" a="1"/>
  <c r="A10" i="17" a="1"/>
  <c r="B6" i="17" a="1"/>
  <c r="B10" i="17" a="1"/>
  <c r="B2" i="17" a="1"/>
  <c r="A2" i="17" a="1"/>
  <c r="B10" i="17" l="1"/>
  <c r="B6" i="17"/>
  <c r="A10" i="17"/>
  <c r="A6" i="17"/>
  <c r="B9" i="17"/>
  <c r="B5" i="17"/>
  <c r="A9" i="17"/>
  <c r="A5" i="17"/>
  <c r="B8" i="17"/>
  <c r="B4" i="17"/>
  <c r="A8" i="17"/>
  <c r="A4" i="17"/>
  <c r="B11" i="17"/>
  <c r="B7" i="17"/>
  <c r="B3" i="17"/>
  <c r="A11" i="17"/>
  <c r="A7" i="17"/>
  <c r="A3" i="17"/>
  <c r="B2" i="17"/>
  <c r="A2" i="17"/>
  <c r="A3" i="26"/>
  <c r="B3" i="26"/>
  <c r="A4" i="26"/>
  <c r="B4" i="26"/>
  <c r="A5" i="26"/>
  <c r="B5" i="26"/>
  <c r="A6" i="26"/>
  <c r="B6" i="26"/>
  <c r="A7" i="26"/>
  <c r="B7" i="26"/>
  <c r="A8" i="26"/>
  <c r="B8" i="26"/>
  <c r="A9" i="26"/>
  <c r="B9" i="26"/>
  <c r="A10" i="26"/>
  <c r="B10" i="26"/>
  <c r="A11" i="26"/>
  <c r="B11" i="26"/>
  <c r="B2" i="26"/>
  <c r="A2" i="26"/>
  <c r="B3" i="25" a="1"/>
  <c r="B3" i="25" s="1"/>
  <c r="B4" i="25" a="1"/>
  <c r="B4" i="25" s="1"/>
  <c r="B5" i="25" a="1"/>
  <c r="B5" i="25" s="1"/>
  <c r="B6" i="25" a="1"/>
  <c r="B6" i="25" s="1"/>
  <c r="B7" i="25" a="1"/>
  <c r="B7" i="25" s="1"/>
  <c r="B8" i="25" a="1"/>
  <c r="B8" i="25" s="1"/>
  <c r="B9" i="25" a="1"/>
  <c r="B9" i="25" s="1"/>
  <c r="B10" i="25" a="1"/>
  <c r="B10" i="25" s="1"/>
  <c r="B11" i="25" a="1"/>
  <c r="B11" i="25" s="1"/>
  <c r="B2" i="25" a="1"/>
  <c r="B2" i="25" s="1"/>
  <c r="A2" i="22" a="1"/>
  <c r="A2" i="22" s="1"/>
  <c r="A3" i="22" a="1"/>
  <c r="A3" i="22" s="1"/>
  <c r="B3" i="22" a="1"/>
  <c r="B3" i="22"/>
  <c r="A4" i="22" a="1"/>
  <c r="A4" i="22" s="1"/>
  <c r="B4" i="22" a="1"/>
  <c r="B4" i="22" s="1"/>
  <c r="A5" i="22" a="1"/>
  <c r="A5" i="22" s="1"/>
  <c r="B5" i="22" a="1"/>
  <c r="B5" i="22" s="1"/>
  <c r="A6" i="22" a="1"/>
  <c r="A6" i="22" s="1"/>
  <c r="B6" i="22" a="1"/>
  <c r="B6" i="22" s="1"/>
  <c r="A7" i="22" a="1"/>
  <c r="A7" i="22" s="1"/>
  <c r="B7" i="22" a="1"/>
  <c r="B7" i="22" s="1"/>
  <c r="A8" i="22" a="1"/>
  <c r="A8" i="22" s="1"/>
  <c r="B8" i="22" a="1"/>
  <c r="B8" i="22" s="1"/>
  <c r="A9" i="22" a="1"/>
  <c r="A9" i="22" s="1"/>
  <c r="B9" i="22" a="1"/>
  <c r="B9" i="22" s="1"/>
  <c r="A10" i="22" a="1"/>
  <c r="A10" i="22" s="1"/>
  <c r="B10" i="22" a="1"/>
  <c r="B10" i="22" s="1"/>
  <c r="A11" i="22" a="1"/>
  <c r="A11" i="22" s="1"/>
  <c r="B11" i="22" a="1"/>
  <c r="B11" i="22" s="1"/>
  <c r="B2" i="22" a="1"/>
  <c r="B2" i="22" s="1"/>
  <c r="A3" i="16"/>
  <c r="B3" i="16"/>
  <c r="A4" i="16"/>
  <c r="B4" i="16"/>
  <c r="A5" i="16"/>
  <c r="B5" i="16"/>
  <c r="A6" i="16"/>
  <c r="B6" i="16"/>
  <c r="A7" i="16"/>
  <c r="B7" i="16"/>
  <c r="A8" i="16"/>
  <c r="B8" i="16"/>
  <c r="A9" i="16"/>
  <c r="B9" i="16"/>
  <c r="A10" i="16"/>
  <c r="B10" i="16"/>
  <c r="A11" i="16"/>
  <c r="B11" i="16"/>
  <c r="B2" i="16"/>
  <c r="A2" i="16"/>
  <c r="A3" i="14" a="1"/>
  <c r="A3" i="14" s="1"/>
  <c r="A4" i="14" a="1"/>
  <c r="A4" i="14" s="1"/>
  <c r="A5" i="14" a="1"/>
  <c r="A5" i="14" s="1"/>
  <c r="A6" i="14" a="1"/>
  <c r="A6" i="14" s="1"/>
  <c r="A7" i="14" a="1"/>
  <c r="A7" i="14" s="1"/>
  <c r="A8" i="14" a="1"/>
  <c r="A8" i="14" s="1"/>
  <c r="A9" i="14" a="1"/>
  <c r="A9" i="14" s="1"/>
  <c r="A10" i="14" a="1"/>
  <c r="A10" i="14" s="1"/>
  <c r="A11" i="14" a="1"/>
  <c r="A11" i="14" s="1"/>
  <c r="A2" i="14" a="1"/>
  <c r="A2" i="14" s="1"/>
  <c r="A3" i="9" a="1"/>
  <c r="A3" i="9" s="1"/>
  <c r="A4" i="9" a="1"/>
  <c r="A4" i="9" s="1"/>
  <c r="A5" i="9" a="1"/>
  <c r="A5" i="9" s="1"/>
  <c r="A6" i="9" a="1"/>
  <c r="A6" i="9" s="1"/>
  <c r="A7" i="9" a="1"/>
  <c r="A7" i="9" s="1"/>
  <c r="A8" i="9" a="1"/>
  <c r="A8" i="9" s="1"/>
  <c r="A9" i="9" a="1"/>
  <c r="A9" i="9" s="1"/>
  <c r="A10" i="9" a="1"/>
  <c r="A10" i="9" s="1"/>
  <c r="A11" i="9" a="1"/>
  <c r="A11" i="9" s="1"/>
  <c r="A2" i="9" a="1"/>
  <c r="A2" i="9" s="1"/>
  <c r="A3" i="23" a="1"/>
  <c r="A7" i="23" a="1"/>
  <c r="B3" i="23" a="1"/>
  <c r="A11" i="23" a="1"/>
  <c r="B5" i="23" a="1"/>
  <c r="A8" i="23" a="1"/>
  <c r="B9" i="23" a="1"/>
  <c r="A6" i="23" a="1"/>
  <c r="B6" i="23" a="1"/>
  <c r="B10" i="23" a="1"/>
  <c r="B2" i="23" a="1"/>
  <c r="B7" i="23" a="1"/>
  <c r="B4" i="23" a="1"/>
  <c r="A2" i="23" a="1"/>
  <c r="B8" i="23" a="1"/>
  <c r="A5" i="23" a="1"/>
  <c r="A10" i="23" a="1"/>
  <c r="B11" i="23" a="1"/>
  <c r="A9" i="23" a="1"/>
  <c r="A4" i="23" a="1"/>
  <c r="B3" i="23" l="1"/>
  <c r="B10" i="23"/>
  <c r="B6" i="23"/>
  <c r="A10" i="23"/>
  <c r="A6" i="23"/>
  <c r="B9" i="23"/>
  <c r="B5" i="23"/>
  <c r="A9" i="23"/>
  <c r="A5" i="23"/>
  <c r="B8" i="23"/>
  <c r="B4" i="23"/>
  <c r="A8" i="23"/>
  <c r="A4" i="23"/>
  <c r="B11" i="23"/>
  <c r="B7" i="23"/>
  <c r="A11" i="23"/>
  <c r="A7" i="23"/>
  <c r="A3" i="23"/>
  <c r="B2" i="23"/>
  <c r="A2" i="2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<sst xmlns="http://schemas.openxmlformats.org/spreadsheetml/2006/main" count="339" uniqueCount="125">
  <si>
    <t>東京都新宿区西新宿2丁目8-1　SHINJUKUタワー</t>
  </si>
  <si>
    <t>大阪府大阪市北区梅田3－1－1　グランフロントOSAKA</t>
  </si>
  <si>
    <t>福岡市博多区博多駅前1ー1ー1　ﾀﾜｰﾊｶﾀ</t>
  </si>
  <si>
    <t>神奈川県横浜市西区みなとみらい3-5-1　ヨコハマﾋﾞﾙ</t>
  </si>
  <si>
    <t>さいたま市大宮区桜木町1丁目1番地1号　OMIYA PLAZA</t>
  </si>
  <si>
    <t>広島県広島市中区紙屋町2丁目2番15号　ヒロシマタワー</t>
  </si>
  <si>
    <t>入手住所</t>
    <rPh sb="0" eb="2">
      <t xml:space="preserve">ニュウシュ </t>
    </rPh>
    <rPh sb="2" eb="4">
      <t xml:space="preserve">ジュウショ </t>
    </rPh>
    <phoneticPr fontId="1"/>
  </si>
  <si>
    <t>入手電話番号</t>
    <rPh sb="0" eb="2">
      <t xml:space="preserve">ニュウシュ </t>
    </rPh>
    <rPh sb="2" eb="6">
      <t xml:space="preserve">デンワバンゴウ </t>
    </rPh>
    <phoneticPr fontId="1"/>
  </si>
  <si>
    <t>03-1234-5678</t>
  </si>
  <si>
    <t>０１１－２３４－５６７８</t>
  </si>
  <si>
    <t>06-６５７８-1234</t>
  </si>
  <si>
    <t>０９２ー２３４ー１２３４</t>
  </si>
  <si>
    <t>045-1234-５６７８</t>
  </si>
  <si>
    <t>052－１２３４－５６７８</t>
  </si>
  <si>
    <t>048-９８７６-1234</t>
  </si>
  <si>
    <t>０４３ー１２３ー４５６７</t>
  </si>
  <si>
    <t>075-234-5678</t>
  </si>
  <si>
    <t>０８２－５６７８－１２３４</t>
  </si>
  <si>
    <t>処理後住所</t>
    <rPh sb="0" eb="2">
      <t xml:space="preserve">ショリ </t>
    </rPh>
    <rPh sb="2" eb="3">
      <t xml:space="preserve">ゴ </t>
    </rPh>
    <rPh sb="3" eb="5">
      <t xml:space="preserve">ジュウショ </t>
    </rPh>
    <phoneticPr fontId="1"/>
  </si>
  <si>
    <t>処理後住所</t>
    <rPh sb="0" eb="5">
      <t xml:space="preserve">ショリジュウショ </t>
    </rPh>
    <phoneticPr fontId="1"/>
  </si>
  <si>
    <t>名古屋市中区錦1-1-1　ナゴヤグランドタワーナゴヤ</t>
    <phoneticPr fontId="1"/>
  </si>
  <si>
    <t>神奈川県横浜市西区みなとみらい3ー5ー1　ﾖｺﾊﾏﾋﾞ-ﾙ</t>
    <phoneticPr fontId="1"/>
  </si>
  <si>
    <t>045ー1234ー５６７８</t>
    <phoneticPr fontId="1"/>
  </si>
  <si>
    <t>045-1234-5678</t>
    <phoneticPr fontId="1"/>
  </si>
  <si>
    <t>横浜市西区みなとみらい3-5-1　ヨコハマビール</t>
    <phoneticPr fontId="1"/>
  </si>
  <si>
    <t>都道府県名</t>
    <rPh sb="0" eb="4">
      <t xml:space="preserve">トドウフケｎ </t>
    </rPh>
    <rPh sb="4" eb="5">
      <t xml:space="preserve">メイ </t>
    </rPh>
    <phoneticPr fontId="1"/>
  </si>
  <si>
    <t>北海道</t>
  </si>
  <si>
    <t>青森県</t>
  </si>
  <si>
    <t>岩手県</t>
  </si>
  <si>
    <t>宮城県</t>
  </si>
  <si>
    <t>秋田県</t>
  </si>
  <si>
    <t>山形県</t>
  </si>
  <si>
    <t>福島県</t>
  </si>
  <si>
    <t>茨城県</t>
  </si>
  <si>
    <t>栃木県</t>
  </si>
  <si>
    <t>群馬県</t>
  </si>
  <si>
    <t>埼玉県</t>
  </si>
  <si>
    <t>千葉県</t>
  </si>
  <si>
    <t>東京都</t>
  </si>
  <si>
    <t>神奈川県</t>
  </si>
  <si>
    <t>新潟県</t>
  </si>
  <si>
    <t>富山県</t>
  </si>
  <si>
    <t>石川県</t>
  </si>
  <si>
    <t>福井県</t>
  </si>
  <si>
    <t>山梨県</t>
  </si>
  <si>
    <t>長野県</t>
  </si>
  <si>
    <t>岐阜県</t>
  </si>
  <si>
    <t>静岡県</t>
  </si>
  <si>
    <t>愛知県</t>
  </si>
  <si>
    <t>三重県</t>
  </si>
  <si>
    <t>滋賀県</t>
  </si>
  <si>
    <t>京都府</t>
  </si>
  <si>
    <t>大阪府</t>
  </si>
  <si>
    <t>兵庫県</t>
  </si>
  <si>
    <t>奈良県</t>
  </si>
  <si>
    <t>和歌山県</t>
  </si>
  <si>
    <t>鳥取県</t>
  </si>
  <si>
    <t>島根県</t>
  </si>
  <si>
    <t>岡山県</t>
  </si>
  <si>
    <t>広島県</t>
  </si>
  <si>
    <t>山口県</t>
  </si>
  <si>
    <t>徳島県</t>
  </si>
  <si>
    <t>香川県</t>
  </si>
  <si>
    <t>愛媛県</t>
  </si>
  <si>
    <t>高知県</t>
  </si>
  <si>
    <t>福岡県</t>
  </si>
  <si>
    <t>佐賀県</t>
  </si>
  <si>
    <t>長崎県</t>
  </si>
  <si>
    <t>熊本県</t>
  </si>
  <si>
    <t>大分県</t>
  </si>
  <si>
    <t>宮崎県</t>
  </si>
  <si>
    <t>鹿児島県</t>
  </si>
  <si>
    <t>沖縄県</t>
  </si>
  <si>
    <t>北海道札幌市中央区北3条西2丁目1番地　ﾎｯｶｲﾄﾞｳビル</t>
    <phoneticPr fontId="1"/>
  </si>
  <si>
    <t>千葉県千葉市中央区富士見2丁目3-10　チバセンター</t>
    <phoneticPr fontId="1"/>
  </si>
  <si>
    <t>京都府京都市下京区四条通烏丸東入長刀鉾町　ｷｮｳﾄビルディング</t>
    <phoneticPr fontId="1"/>
  </si>
  <si>
    <t>=</t>
    <phoneticPr fontId="1"/>
  </si>
  <si>
    <t>新宿区西新宿2丁目8-1　SHINJUKUタワー</t>
  </si>
  <si>
    <t>札幌市中央区北3条西2丁目1番地　ﾎｯｶｲﾄﾞｳビル</t>
  </si>
  <si>
    <t>大阪市北区梅田3－1－1　グランフロントOSAKA</t>
  </si>
  <si>
    <t>横浜市西区みなとみらい3-5-1　ヨコハマﾋﾞﾙ</t>
  </si>
  <si>
    <t>名古屋市中区錦1-1-1　ナゴヤグランドタワーナゴヤ</t>
  </si>
  <si>
    <t>千葉市中央区富士見2丁目3-10　チバセンター</t>
  </si>
  <si>
    <t>京都市下京区四条通烏丸東入長刀鉾町　ｷｮｳﾄビルディング</t>
  </si>
  <si>
    <t>広島市中区紙屋町2丁目2番15号　ヒロシマタワー</t>
  </si>
  <si>
    <t>大阪府大阪市北区梅田3－1－1　グランフロントOSAKA</t>
    <phoneticPr fontId="1"/>
  </si>
  <si>
    <t>東京都新宿区西新宿2丁目8-1　　　  SHINJUKUタワー</t>
    <phoneticPr fontId="1"/>
  </si>
  <si>
    <t>北海道札幌市中央区北3条西2丁目1番地　  ﾎｯｶｲﾄﾞｳビル</t>
    <phoneticPr fontId="1"/>
  </si>
  <si>
    <t>さいたま市大宮区桜木町1丁目1番地111１9５5号　OMIYA PLAZA</t>
    <phoneticPr fontId="1"/>
  </si>
  <si>
    <t>０１１-２３４ー５６７８</t>
    <phoneticPr fontId="1"/>
  </si>
  <si>
    <t>東京都新宿区西新宿２丁目8-1　SHINJUKUタワー</t>
    <phoneticPr fontId="1"/>
  </si>
  <si>
    <t>神奈川県横浜市西区みなとみらい3-5-1　ヨコハマﾋﾞﾙ</t>
    <phoneticPr fontId="1"/>
  </si>
  <si>
    <t>東京都新宿区西新宿２丁目８－１　ＳＨＩＮＪＵＫＵタワー</t>
  </si>
  <si>
    <t>０３－１２３４－５６７８</t>
  </si>
  <si>
    <t>北海道札幌市中央区北３条西２丁目１番地　ホッカイドウビル</t>
  </si>
  <si>
    <t>大阪府大阪市北区梅田３－１－１　グランフロントＯＳＡＫＡ</t>
  </si>
  <si>
    <t>０６－６５７８－１２３４</t>
  </si>
  <si>
    <t>福岡市博多区博多駅前１ー１ー１　タワーハカタ</t>
  </si>
  <si>
    <t>神奈川県横浜市西区みなとみらい３－５－１　ヨコハマビル</t>
  </si>
  <si>
    <t>０４５－１２３４－５６７８</t>
  </si>
  <si>
    <t>名古屋市中区錦１－１－１　ナゴヤグランドタワーナゴヤ</t>
  </si>
  <si>
    <t>０５２－１２３４－５６７８</t>
  </si>
  <si>
    <t>さいたま市大宮区桜木町１丁目１番地１号　ＯＭＩＹＡ　ＰＬＡＺＡ</t>
  </si>
  <si>
    <t>０４８－９８７６－１２３４</t>
  </si>
  <si>
    <t>千葉県千葉市中央区富士見２丁目３－１０　チバセンター</t>
  </si>
  <si>
    <t>京都府京都市下京区四条通烏丸東入長刀鉾町　キョウトビルディング</t>
  </si>
  <si>
    <t>０７５－２３４－５６７８</t>
  </si>
  <si>
    <t>広島県広島市中区紙屋町２丁目２番１５号　ヒロシマタワー</t>
  </si>
  <si>
    <t>北海道札幌市中央区北3条西2丁目1番地　ホッカイドウビル</t>
  </si>
  <si>
    <t>011-234-5678</t>
  </si>
  <si>
    <t>大阪府大阪市北区梅田3-1-1　グランフロントOSAKA</t>
  </si>
  <si>
    <t>06-6578-1234</t>
  </si>
  <si>
    <t>092ー234ー1234</t>
  </si>
  <si>
    <t>神奈川県横浜市西区みなとみらい3-5-1　ヨコハマビル</t>
  </si>
  <si>
    <t>045-1234-5678</t>
  </si>
  <si>
    <t>052-1234-5678</t>
  </si>
  <si>
    <t>さいたま市大宮区桜木町1丁目1番地1号　OMIYA　PLAZA</t>
  </si>
  <si>
    <t>048-9876-1234</t>
  </si>
  <si>
    <t>千葉県千葉市中央区富士見2丁目3-10　チバセンター</t>
  </si>
  <si>
    <t>043ー123ー4567</t>
  </si>
  <si>
    <t>082-5678-1234</t>
  </si>
  <si>
    <t>福岡市博多区博多駅前1ー1ー1　タワーハカタ</t>
    <phoneticPr fontId="1"/>
  </si>
  <si>
    <t>０１１－２３４－５６７８</t>
    <phoneticPr fontId="1"/>
  </si>
  <si>
    <t>ドﾞ</t>
    <phoneticPr fontId="1"/>
  </si>
  <si>
    <t>ﾄﾞ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</si>
</sst>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2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メイリオ"/>
      <family val="2"/>
      <charset val="128"/>
    </font>
    <font>
      <sz val="12"/>
      <color theme="0"/>
      <name val="メイリオ"/>
      <family val="2"/>
      <charset val="128"/>
    </font>
    <font>
      <sz val="12"/>
      <color rgb="FF000000"/>
      <name val="游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2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2" borderId="0" xfId="0" applyFont="1" applyFill="1">
      <alignment vertical="center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>
      <alignment vertical="center"/>
    </xf>
    <xf numFmtId="0" fontId="2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>
      <alignment vertical="center"/>
    </xf>
    <xf numFmtId="0" fontId="2" fillId="5" borderId="0" xfId="0" applyFont="1" applyFill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0</xdr:row>
      <xdr:rowOff>0</xdr:rowOff>
    </xdr:from>
    <xdr:to>
      <xdr:col>26</xdr:col>
      <xdr:colOff>330200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248D6C2-A334-5004-C069-775AB2837803}"/>
            </a:ext>
          </a:extLst>
        </xdr:cNvPr>
        <xdr:cNvSpPr txBox="1"/>
      </xdr:nvSpPr>
      <xdr:spPr>
        <a:xfrm>
          <a:off x="1270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 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日本の住所データがある。　先頭の都道府県名があったりなかったりする。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東京都新宿区西新宿２丁目８ー１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の住所データから　都道府県名を削除した値を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が得る関数を作る。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#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結果例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.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新宿区西新宿２丁目８ー１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　入力されている都道府県名データを　削除する項目として利用する。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・一つの関数で処理する。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は使わないこと。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のテキストの先頭に　都道府県名がない場合はそのまま表示して、エラーにならないようにする。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AB535C71-BB19-2340-BCC6-CA9F53A8A9A7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・最新の提案関数を以下の内容で修正する。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：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E48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定数入力されている都道府県名データが無いことを前提に変更して、同じ結果を得る。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3" name="テキスト ボックス 2">
          <a:extLst>
            <a:ext uri="{FF2B5EF4-FFF2-40B4-BE49-F238E27FC236}">
              <a16:creationId xmlns:a16="http://schemas.microsoft.com/office/drawing/2014/main" id="{6C16B2B9-12D5-0345-940D-41B900500960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 を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・最新の修正した関数は、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関数です。機能は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日本の住所テキストから都道府県名を削除する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　同じ処理をする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に書き換える。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アクティブなワークブックの、アクティブなワークシートを対象とする。</a:t>
          </a:r>
          <a:endParaRPr lang="en-US" altLang="ja-JP" sz="3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・取得する日本の住所テキストの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・都道府県名削除処理後のデータを出力する対象セルは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41</xdr:row>
      <xdr:rowOff>50800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C7935C19-41CE-E643-AB90-4E355430CCFD}"/>
            </a:ext>
          </a:extLst>
        </xdr:cNvPr>
        <xdr:cNvSpPr txBox="1"/>
      </xdr:nvSpPr>
      <xdr:spPr>
        <a:xfrm>
          <a:off x="0" y="0"/>
          <a:ext cx="25082500" cy="104648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・この関数は、指定したセルの日本語テキストを下記ルールで正規化します。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　テキストデータ　について下記処理を行い　セル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に出力する関数を作る。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半角英字と半角数字と半角カタカナを　全角にする。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全角英字と数字　を　半角に変換する。全角のカタカナは変換せずそのままとする。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　　（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書き換えました）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2400" b="0" i="0">
              <a:latin typeface="Meiryo" panose="020B0604030504040204" pitchFamily="34" charset="-128"/>
              <a:ea typeface="Meiryo" panose="020B0604030504040204" pitchFamily="34" charset="-128"/>
            </a:rPr>
            <a:t>		ex. 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東京都新宿区西新宿２丁目８－１　</a:t>
          </a:r>
          <a:r>
            <a:rPr lang="ja-JP" altLang="en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ＳＨＩＮＪＵＫＵ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の場合、　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東京都新宿区西新宿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丁目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8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－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2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　</a:t>
          </a:r>
          <a:r>
            <a:rPr lang="en-US" altLang="ja-JP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SHINJUKU</a:t>
          </a:r>
          <a:r>
            <a:rPr lang="ja-JP" altLang="en-US" sz="2400" b="0" i="0" u="none" strike="noStrike">
              <a:solidFill>
                <a:schemeClr val="dk1"/>
              </a:solidFill>
              <a:effectLst/>
              <a:latin typeface="Meiryo" panose="020B0604030504040204" pitchFamily="34" charset="-128"/>
              <a:ea typeface="Meiryo" panose="020B0604030504040204" pitchFamily="34" charset="-128"/>
              <a:cs typeface="+mn-cs"/>
            </a:rPr>
            <a:t>タワー</a:t>
          </a:r>
          <a:r>
            <a:rPr lang="ja-JP" altLang="en-US" sz="2400" b="0" i="0">
              <a:latin typeface="Meiryo" panose="020B0604030504040204" pitchFamily="34" charset="-128"/>
              <a:ea typeface="Meiryo" panose="020B0604030504040204" pitchFamily="34" charset="-128"/>
            </a:rPr>
            <a:t> 　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4-3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だめだった。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ー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特殊な全角のハイフン　を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"-"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半角のハイフンにする。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　・・・英数字の後にくるハイフンを半角にする。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を使用せず、セルに入力する関数で生成してください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27</xdr:col>
      <xdr:colOff>774700</xdr:colOff>
      <xdr:row>41</xdr:row>
      <xdr:rowOff>165100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B09B8F8-ED74-4941-AF06-A39280553186}"/>
            </a:ext>
          </a:extLst>
        </xdr:cNvPr>
        <xdr:cNvSpPr txBox="1"/>
      </xdr:nvSpPr>
      <xdr:spPr>
        <a:xfrm>
          <a:off x="0" y="0"/>
          <a:ext cx="26492200" cy="105791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 for 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で動作する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関数を作成してください。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・この関数は、指定したセルの日本語テキストを正規化します。具体的な要件は以下の通りです：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全角スペース**を**半角スペース**に変換する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連続する半角スペース**を**単一の半角スペース**にする。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3.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半角英字を**全角英字に、**半角数字**を**全角数字**にする。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4.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半角カタカナ**を**全角カタカナ**にする。全角カタカナ**はそのままにする。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ハイフンに類似する様々な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Unicode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文字（例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半角ハイフンマイナス、全角ハイフンマイナス、全角長音記号、その他も含む）を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全角長音記号）**に統一する。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6. 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英文字および数字の後に続く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U+30FC**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を**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U+002D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（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ハイフンマイナス）**に置換する。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この関数は、指定したセルの内容を引数として受け取り、上記の正規化処理を行った結果を、該当関数の入力されたセルに返すものとします。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また、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で確実に動作する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を生成するものとする。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mac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</a:t>
          </a:r>
          <a:r>
            <a:rPr kumimoji="1" lang="en-US" altLang="ja-JP" sz="3200" kern="1200">
              <a:latin typeface="Meiryo" panose="020B0604030504040204" pitchFamily="34" charset="-128"/>
              <a:ea typeface="Meiryo" panose="020B0604030504040204" pitchFamily="34" charset="-128"/>
            </a:rPr>
            <a:t>Excel</a:t>
          </a:r>
          <a:r>
            <a:rPr kumimoji="1" lang="ja-JP" altLang="en-US" sz="3200" kern="1200">
              <a:latin typeface="Meiryo" panose="020B0604030504040204" pitchFamily="34" charset="-128"/>
              <a:ea typeface="Meiryo" panose="020B0604030504040204" pitchFamily="34" charset="-128"/>
            </a:rPr>
            <a:t>のサポート内で開発する。</a:t>
          </a:r>
        </a:p>
      </xdr:txBody>
    </xdr:sp>
    <xdr:clientData/>
  </xdr:twoCellAnchor>
  <xdr:twoCellAnchor>
    <xdr:from>
      <xdr:col>14</xdr:col>
      <xdr:colOff>939800</xdr:colOff>
      <xdr:row>12</xdr:row>
      <xdr:rowOff>139700</xdr:rowOff>
    </xdr:from>
    <xdr:to>
      <xdr:col>27</xdr:col>
      <xdr:colOff>25400</xdr:colOff>
      <xdr:row>21</xdr:row>
      <xdr:rowOff>127000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A6D4BECE-AA52-B62A-1AC4-4F0FC91897E8}"/>
            </a:ext>
          </a:extLst>
        </xdr:cNvPr>
        <xdr:cNvSpPr/>
      </xdr:nvSpPr>
      <xdr:spPr>
        <a:xfrm>
          <a:off x="14274800" y="3187700"/>
          <a:ext cx="11468100" cy="2273300"/>
        </a:xfrm>
        <a:prstGeom prst="rect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【</a:t>
          </a:r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注意事項</a:t>
          </a:r>
          <a:r>
            <a:rPr kumimoji="1" lang="en-US" altLang="ja-JP" sz="2800" kern="1200">
              <a:latin typeface="Meiryo" panose="020B0604030504040204" pitchFamily="34" charset="-128"/>
              <a:ea typeface="Meiryo" panose="020B0604030504040204" pitchFamily="34" charset="-128"/>
            </a:rPr>
            <a:t>】</a:t>
          </a:r>
        </a:p>
        <a:p>
          <a:pPr algn="l"/>
          <a:r>
            <a:rPr kumimoji="1" lang="ja-JP" altLang="en-US" sz="2800" kern="1200">
              <a:latin typeface="Meiryo" panose="020B0604030504040204" pitchFamily="34" charset="-128"/>
              <a:ea typeface="Meiryo" panose="020B0604030504040204" pitchFamily="34" charset="-128"/>
            </a:rPr>
            <a:t>すべての正規化をカバーしていません。特に他にも類似ハイフンがあるため、ご自分で確認のうえ、考えてみてください。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317500</xdr:colOff>
      <xdr:row>27</xdr:row>
      <xdr:rowOff>190500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60D11A91-0CBC-464A-8050-B1B798F3A066}"/>
            </a:ext>
          </a:extLst>
        </xdr:cNvPr>
        <xdr:cNvSpPr txBox="1"/>
      </xdr:nvSpPr>
      <xdr:spPr>
        <a:xfrm>
          <a:off x="0" y="0"/>
          <a:ext cx="25082500" cy="7048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テキストの全角半角を正規化する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を修正する指示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5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・具体的な修正要件は以下の通りです：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処理内容はすべて変更なし。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2. 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セルに入力する関数としてではなく、以下の範囲のテキストを正規化して、指定の範囲へ出力する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・正規化の対象セルは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	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・正規化後のデータを出力する対象セルは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として、行は正規化対象セルの行に対応するようにする。 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26</xdr:col>
      <xdr:colOff>609600</xdr:colOff>
      <xdr:row>38</xdr:row>
      <xdr:rowOff>12700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98FB434E-2D20-D741-AF43-734FB1B88F72}"/>
            </a:ext>
          </a:extLst>
        </xdr:cNvPr>
        <xdr:cNvSpPr txBox="1"/>
      </xdr:nvSpPr>
      <xdr:spPr>
        <a:xfrm>
          <a:off x="0" y="0"/>
          <a:ext cx="25374600" cy="9664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テキストを正規化する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と、都道府県を削除する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を合体マージする指示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7</a:t>
          </a:r>
        </a:p>
        <a:p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ExcelforMac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で作動する２つの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を、処理と機能はそのままに、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テキストの正規化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"→"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都道府県名の削除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の順番で作動するようマージして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1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VBA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に変更する。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 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アクティブなワークブックの、アクティブなワークシートを対象とする 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データの取得範囲と、処理後の出力範囲だけ、以下に変更統一する。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・取得するテキストの　対象セル範囲は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C2:D2"</a:t>
          </a:r>
          <a:r>
            <a:rPr lang="ja-JP" altLang="en" sz="3200">
              <a:latin typeface="Meiryo" panose="020B0604030504040204" pitchFamily="34" charset="-128"/>
              <a:ea typeface="Meiryo" panose="020B0604030504040204" pitchFamily="34" charset="-128"/>
            </a:rPr>
            <a:t>　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をスタートとして、データがある最終行までとする。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・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2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つの処理終了後のデータを出力する対象セルは　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A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:</a:t>
          </a:r>
          <a:r>
            <a:rPr lang="en" altLang="ja-JP" sz="3200">
              <a:latin typeface="Meiryo" panose="020B0604030504040204" pitchFamily="34" charset="-128"/>
              <a:ea typeface="Meiryo" panose="020B0604030504040204" pitchFamily="34" charset="-128"/>
            </a:rPr>
            <a:t>B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列</a:t>
          </a:r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"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として、行はテキストを取得した対象セルの行に対応するようにする。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マージによる、変数のコンフリクトなど全体コードについてエラー要素を検討して、更新をして、エラーが出ないように検討する。</a:t>
          </a:r>
          <a:endParaRPr lang="en-US" altLang="ja-JP" sz="3200"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lang="en-US" altLang="ja-JP" sz="3200">
              <a:latin typeface="Meiryo" panose="020B0604030504040204" pitchFamily="34" charset="-128"/>
              <a:ea typeface="Meiryo" panose="020B0604030504040204" pitchFamily="34" charset="-128"/>
            </a:rPr>
            <a:t>※</a:t>
          </a:r>
          <a:r>
            <a:rPr lang="ja-JP" altLang="en-US" sz="3200">
              <a:latin typeface="Meiryo" panose="020B0604030504040204" pitchFamily="34" charset="-128"/>
              <a:ea typeface="Meiryo" panose="020B0604030504040204" pitchFamily="34" charset="-128"/>
            </a:rPr>
            <a:t>エラーハンドリングもよろしくね。</a:t>
          </a:r>
          <a:endParaRPr kumimoji="1" lang="ja-JP" altLang="en-US" sz="3200" kern="1200">
            <a:latin typeface="Meiryo" panose="020B0604030504040204" pitchFamily="34" charset="-128"/>
            <a:ea typeface="Meiryo" panose="020B0604030504040204" pitchFamily="34" charset="-128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861693</xdr:colOff>
      <xdr:row>1</xdr:row>
      <xdr:rowOff>206374</xdr:rowOff>
    </xdr:from>
    <xdr:to>
      <xdr:col>1</xdr:col>
      <xdr:colOff>1004570</xdr:colOff>
      <xdr:row>1</xdr:row>
      <xdr:rowOff>640291</xdr:rowOff>
    </xdr:to>
    <xdr:sp macro="" textlink="">
      <xdr:nvSpPr>
        <xdr:cNvPr id="3" name="正方形/長方形 2">
          <a:extLst>
            <a:ext uri="{FF2B5EF4-FFF2-40B4-BE49-F238E27FC236}">
              <a16:creationId xmlns:a16="http://schemas.microsoft.com/office/drawing/2014/main" id="{7779D648-32D0-18E3-B351-187EC0452B51}"/>
            </a:ext>
          </a:extLst>
        </xdr:cNvPr>
        <xdr:cNvSpPr/>
      </xdr:nvSpPr>
      <xdr:spPr>
        <a:xfrm>
          <a:off x="5865493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3033607</xdr:colOff>
      <xdr:row>1</xdr:row>
      <xdr:rowOff>206374</xdr:rowOff>
    </xdr:from>
    <xdr:to>
      <xdr:col>0</xdr:col>
      <xdr:colOff>3695065</xdr:colOff>
      <xdr:row>1</xdr:row>
      <xdr:rowOff>640291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609DFD1A-2A9B-72CA-6A7F-55FF34B527A6}"/>
            </a:ext>
          </a:extLst>
        </xdr:cNvPr>
        <xdr:cNvSpPr/>
      </xdr:nvSpPr>
      <xdr:spPr>
        <a:xfrm>
          <a:off x="3033607" y="815974"/>
          <a:ext cx="661458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322792</xdr:colOff>
      <xdr:row>1</xdr:row>
      <xdr:rowOff>206374</xdr:rowOff>
    </xdr:from>
    <xdr:to>
      <xdr:col>1</xdr:col>
      <xdr:colOff>465669</xdr:colOff>
      <xdr:row>1</xdr:row>
      <xdr:rowOff>640291</xdr:rowOff>
    </xdr:to>
    <xdr:sp macro="" textlink="">
      <xdr:nvSpPr>
        <xdr:cNvPr id="6" name="正方形/長方形 5">
          <a:extLst>
            <a:ext uri="{FF2B5EF4-FFF2-40B4-BE49-F238E27FC236}">
              <a16:creationId xmlns:a16="http://schemas.microsoft.com/office/drawing/2014/main" id="{28A94EBF-48F0-6EFF-D795-7888747B6D36}"/>
            </a:ext>
          </a:extLst>
        </xdr:cNvPr>
        <xdr:cNvSpPr/>
      </xdr:nvSpPr>
      <xdr:spPr>
        <a:xfrm>
          <a:off x="5328709" y="814916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1</xdr:col>
      <xdr:colOff>1042458</xdr:colOff>
      <xdr:row>1</xdr:row>
      <xdr:rowOff>206374</xdr:rowOff>
    </xdr:from>
    <xdr:to>
      <xdr:col>1</xdr:col>
      <xdr:colOff>1603375</xdr:colOff>
      <xdr:row>1</xdr:row>
      <xdr:rowOff>640291</xdr:rowOff>
    </xdr:to>
    <xdr:sp macro="" textlink="">
      <xdr:nvSpPr>
        <xdr:cNvPr id="7" name="正方形/長方形 6">
          <a:extLst>
            <a:ext uri="{FF2B5EF4-FFF2-40B4-BE49-F238E27FC236}">
              <a16:creationId xmlns:a16="http://schemas.microsoft.com/office/drawing/2014/main" id="{C8064432-7D85-D7F9-47F1-E7122828445C}"/>
            </a:ext>
          </a:extLst>
        </xdr:cNvPr>
        <xdr:cNvSpPr/>
      </xdr:nvSpPr>
      <xdr:spPr>
        <a:xfrm>
          <a:off x="6048375" y="814916"/>
          <a:ext cx="56091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2413634</xdr:colOff>
      <xdr:row>1</xdr:row>
      <xdr:rowOff>206374</xdr:rowOff>
    </xdr:from>
    <xdr:to>
      <xdr:col>0</xdr:col>
      <xdr:colOff>2556511</xdr:colOff>
      <xdr:row>1</xdr:row>
      <xdr:rowOff>640291</xdr:rowOff>
    </xdr:to>
    <xdr:sp macro="" textlink="">
      <xdr:nvSpPr>
        <xdr:cNvPr id="8" name="正方形/長方形 7">
          <a:extLst>
            <a:ext uri="{FF2B5EF4-FFF2-40B4-BE49-F238E27FC236}">
              <a16:creationId xmlns:a16="http://schemas.microsoft.com/office/drawing/2014/main" id="{EB5619E1-A0BB-8065-1AF8-75EEA8FA4C39}"/>
            </a:ext>
          </a:extLst>
        </xdr:cNvPr>
        <xdr:cNvSpPr/>
      </xdr:nvSpPr>
      <xdr:spPr>
        <a:xfrm>
          <a:off x="2413634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2668056</xdr:colOff>
      <xdr:row>1</xdr:row>
      <xdr:rowOff>206374</xdr:rowOff>
    </xdr:from>
    <xdr:to>
      <xdr:col>0</xdr:col>
      <xdr:colOff>2810933</xdr:colOff>
      <xdr:row>1</xdr:row>
      <xdr:rowOff>640291</xdr:rowOff>
    </xdr:to>
    <xdr:sp macro="" textlink="">
      <xdr:nvSpPr>
        <xdr:cNvPr id="9" name="正方形/長方形 8">
          <a:extLst>
            <a:ext uri="{FF2B5EF4-FFF2-40B4-BE49-F238E27FC236}">
              <a16:creationId xmlns:a16="http://schemas.microsoft.com/office/drawing/2014/main" id="{AC3D7A82-B410-483A-F7A1-A01920DDF0D3}"/>
            </a:ext>
          </a:extLst>
        </xdr:cNvPr>
        <xdr:cNvSpPr/>
      </xdr:nvSpPr>
      <xdr:spPr>
        <a:xfrm>
          <a:off x="2668056" y="815974"/>
          <a:ext cx="142877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0</xdr:col>
      <xdr:colOff>10160</xdr:colOff>
      <xdr:row>1</xdr:row>
      <xdr:rowOff>206163</xdr:rowOff>
    </xdr:from>
    <xdr:to>
      <xdr:col>0</xdr:col>
      <xdr:colOff>635000</xdr:colOff>
      <xdr:row>1</xdr:row>
      <xdr:rowOff>640080</xdr:rowOff>
    </xdr:to>
    <xdr:sp macro="" textlink="">
      <xdr:nvSpPr>
        <xdr:cNvPr id="2" name="正方形/長方形 1">
          <a:extLst>
            <a:ext uri="{FF2B5EF4-FFF2-40B4-BE49-F238E27FC236}">
              <a16:creationId xmlns:a16="http://schemas.microsoft.com/office/drawing/2014/main" id="{DA54E582-E1A8-4C58-CD41-626F7736E44D}"/>
            </a:ext>
          </a:extLst>
        </xdr:cNvPr>
        <xdr:cNvSpPr/>
      </xdr:nvSpPr>
      <xdr:spPr>
        <a:xfrm>
          <a:off x="10160" y="815763"/>
          <a:ext cx="624840" cy="433917"/>
        </a:xfrm>
        <a:prstGeom prst="rect">
          <a:avLst/>
        </a:prstGeom>
        <a:solidFill>
          <a:srgbClr val="FF0000">
            <a:alpha val="50196"/>
          </a:srgbClr>
        </a:solidFill>
        <a:ln w="38100"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 kern="1200"/>
        </a:p>
      </xdr:txBody>
    </xdr:sp>
    <xdr:clientData/>
  </xdr:twoCellAnchor>
  <xdr:twoCellAnchor>
    <xdr:from>
      <xdr:col>2</xdr:col>
      <xdr:colOff>81280</xdr:colOff>
      <xdr:row>0</xdr:row>
      <xdr:rowOff>40640</xdr:rowOff>
    </xdr:from>
    <xdr:to>
      <xdr:col>10</xdr:col>
      <xdr:colOff>53340</xdr:colOff>
      <xdr:row>5</xdr:row>
      <xdr:rowOff>116840</xdr:rowOff>
    </xdr:to>
    <xdr:sp macro="" textlink="">
      <xdr:nvSpPr>
        <xdr:cNvPr id="4" name="テキスト ボックス 3">
          <a:extLst>
            <a:ext uri="{FF2B5EF4-FFF2-40B4-BE49-F238E27FC236}">
              <a16:creationId xmlns:a16="http://schemas.microsoft.com/office/drawing/2014/main" id="{0945A94F-BAB2-6E4E-925D-A0B2B3414931}"/>
            </a:ext>
          </a:extLst>
        </xdr:cNvPr>
        <xdr:cNvSpPr txBox="1"/>
      </xdr:nvSpPr>
      <xdr:spPr>
        <a:xfrm>
          <a:off x="7411720" y="40640"/>
          <a:ext cx="7612380" cy="3200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ja-JP" altLang="en-US" sz="18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整理の方針</a:t>
          </a:r>
          <a:endParaRPr lang="en-US" altLang="ja-JP" sz="18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・都道府県名を削除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・英数字は半角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・カタカナは全角（カタカナハイフンも全角）</a:t>
          </a:r>
          <a:endParaRPr kumimoji="1" lang="en-US" altLang="ja-JP" sz="1800" kern="1200">
            <a:solidFill>
              <a:srgbClr val="FF0000"/>
            </a:solidFill>
            <a:latin typeface="Meiryo" panose="020B0604030504040204" pitchFamily="34" charset="-128"/>
            <a:ea typeface="Meiryo" panose="020B0604030504040204" pitchFamily="34" charset="-128"/>
          </a:endParaRPr>
        </a:p>
        <a:p>
          <a:r>
            <a:rPr kumimoji="1" lang="ja-JP" altLang="en-US" sz="1800" kern="1200">
              <a:solidFill>
                <a:srgbClr val="FF0000"/>
              </a:solidFill>
              <a:latin typeface="Meiryo" panose="020B0604030504040204" pitchFamily="34" charset="-128"/>
              <a:ea typeface="Meiryo" panose="020B0604030504040204" pitchFamily="34" charset="-128"/>
            </a:rPr>
            <a:t>・数字をつなぐハイフンは半角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83693A-549F-CC40-8BE4-29ED5F4C2CB4}">
  <sheetPr codeName="Sheet1">
    <tabColor theme="4"/>
  </sheetPr>
  <dimension ref="A30"/>
  <sheetViews>
    <sheetView workbookViewId="0">
      <selection activeCell="B29" sqref="B29"/>
    </sheetView>
    <sheetView workbookViewId="1">
      <selection activeCell="H31" sqref="H31"/>
    </sheetView>
  </sheetViews>
  <sheetFormatPr baseColWidth="10" defaultRowHeight="20"/>
  <sheetData>
    <row r="30" spans="1:1">
      <c r="A30" t="s">
        <v>76</v>
      </c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ED701-2637-C748-8FBD-F7E4865EA9D4}">
  <sheetPr codeName="Sheet2">
    <tabColor theme="4"/>
  </sheetPr>
  <dimension ref="A1"/>
  <sheetViews>
    <sheetView workbookViewId="0">
      <selection activeCell="B29" sqref="B29"/>
    </sheetView>
    <sheetView workbookViewId="1">
      <selection activeCell="AC26" sqref="AC26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C9FA3-D820-BA4B-A009-4291613B8DEB}">
  <sheetPr codeName="Sheet3">
    <tabColor theme="4"/>
  </sheetPr>
  <dimension ref="A1"/>
  <sheetViews>
    <sheetView workbookViewId="0">
      <selection activeCell="B29" sqref="B29"/>
    </sheetView>
    <sheetView workbookViewId="1">
      <selection activeCell="Q30" sqref="Q30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0700C-964E-7645-9D4D-2B379BBA976E}">
  <sheetPr codeName="Sheet4">
    <tabColor theme="4"/>
  </sheetPr>
  <dimension ref="A1"/>
  <sheetViews>
    <sheetView workbookViewId="0">
      <selection activeCell="B29" sqref="B29"/>
    </sheetView>
    <sheetView tabSelected="1" topLeftCell="A5" zoomScale="150" zoomScaleNormal="150" workbookViewId="1">
      <selection activeCell="A29" sqref="A29:XFD29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8B008-2F26-A846-8CC2-A091F3A861AF}">
  <sheetPr codeName="Sheet5">
    <tabColor theme="4"/>
  </sheetPr>
  <dimension ref="A1"/>
  <sheetViews>
    <sheetView workbookViewId="0">
      <selection activeCell="B29" sqref="B29"/>
    </sheetView>
    <sheetView workbookViewId="1">
      <selection activeCell="A31" sqref="A31"/>
    </sheetView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FEDADF-BCDC-0F4F-81BB-122547FA6689}">
  <sheetPr codeName="Sheet6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EC4C20-4934-C749-A169-971A64A5A735}">
  <sheetPr codeName="Sheet7">
    <tabColor theme="4"/>
  </sheetPr>
  <dimension ref="A1"/>
  <sheetViews>
    <sheetView workbookViewId="0">
      <selection activeCell="B29" sqref="B29"/>
    </sheetView>
    <sheetView workbookViewId="1"/>
  </sheetViews>
  <sheetFormatPr baseColWidth="10" defaultRowHeight="20"/>
  <sheetData/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49E8F-0639-CA4B-9C58-215BD46EE498}">
  <sheetPr codeName="Sheet10">
    <tabColor rgb="FFFFFF00"/>
  </sheetPr>
  <dimension ref="A1:E48"/>
  <sheetViews>
    <sheetView zoomScale="190" zoomScaleNormal="190" workbookViewId="0">
      <selection activeCell="E3" sqref="E3:E6"/>
    </sheetView>
    <sheetView zoomScale="190" zoomScaleNormal="190" workbookViewId="1">
      <selection activeCell="D2" sqref="D2"/>
    </sheetView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9" t="s">
        <v>25</v>
      </c>
    </row>
    <row r="2" spans="1:5" ht="27" customHeight="1">
      <c r="A2" s="4" t="str" cm="1">
        <f t="array" ref="A2">TRIM(SUBSTITUTE(C2, IFERROR(LOOKUP(2^15, FIND($E$2:$E$48, C2), $E$2:$E$48), ""), ""))</f>
        <v>新宿区西新宿2丁目8-1　SHINJUKUタワー</v>
      </c>
      <c r="B2" s="4"/>
      <c r="C2" s="2" t="s">
        <v>0</v>
      </c>
      <c r="D2" s="2" t="s">
        <v>8</v>
      </c>
      <c r="E2" s="8" t="s">
        <v>26</v>
      </c>
    </row>
    <row r="3" spans="1:5" ht="27" customHeight="1">
      <c r="A3" s="4" t="str" cm="1">
        <f t="array" ref="A3">TRIM(SUBSTITUTE(C3, IFERROR(LOOKUP(2^15, FIND($E$2:$E$48, C3), $E$2:$E$48), ""), ""))</f>
        <v>札幌市中央区北3条西2丁目1番地　ﾎｯｶｲﾄﾞｳビル</v>
      </c>
      <c r="B3" s="4"/>
      <c r="C3" s="2" t="s">
        <v>73</v>
      </c>
      <c r="D3" s="2" t="s">
        <v>9</v>
      </c>
      <c r="E3" s="8" t="s">
        <v>27</v>
      </c>
    </row>
    <row r="4" spans="1:5" ht="27" customHeight="1">
      <c r="A4" s="4" t="str" cm="1">
        <f t="array" ref="A4">TRIM(SUBSTITUTE(C4, IFERROR(LOOKUP(2^15, FIND($E$2:$E$48, C4), $E$2:$E$48), ""), ""))</f>
        <v>大阪市北区梅田3－1－1　グランフロントOSAKA</v>
      </c>
      <c r="B4" s="4"/>
      <c r="C4" s="2" t="s">
        <v>1</v>
      </c>
      <c r="D4" s="2" t="s">
        <v>10</v>
      </c>
      <c r="E4" s="8" t="s">
        <v>28</v>
      </c>
    </row>
    <row r="5" spans="1:5" ht="27" customHeight="1">
      <c r="A5" s="4" t="str" cm="1">
        <f t="array" ref="A5">TRIM(SUBSTITUTE(C5, IFERROR(LOOKUP(2^15, FIND($E$2:$E$48, C5), $E$2:$E$48), ""), ""))</f>
        <v>福岡市博多区博多駅前1ー1ー1　ﾀﾜｰﾊｶﾀ</v>
      </c>
      <c r="B5" s="4"/>
      <c r="C5" s="2" t="s">
        <v>2</v>
      </c>
      <c r="D5" s="2" t="s">
        <v>11</v>
      </c>
      <c r="E5" s="8" t="s">
        <v>29</v>
      </c>
    </row>
    <row r="6" spans="1:5" ht="27" customHeight="1">
      <c r="A6" s="4" t="str" cm="1">
        <f t="array" ref="A6">TRIM(SUBSTITUTE(C6, IFERROR(LOOKUP(2^15, FIND($E$2:$E$48, C6), $E$2:$E$48), ""), ""))</f>
        <v>横浜市西区みなとみらい3-5-1　ヨコハマﾋﾞﾙ</v>
      </c>
      <c r="B6" s="4"/>
      <c r="C6" s="2" t="s">
        <v>3</v>
      </c>
      <c r="D6" s="2" t="s">
        <v>12</v>
      </c>
      <c r="E6" s="8" t="s">
        <v>30</v>
      </c>
    </row>
    <row r="7" spans="1:5" ht="27" customHeight="1">
      <c r="A7" s="4" t="str" cm="1">
        <f t="array" ref="A7">TRIM(SUBSTITUTE(C7, IFERROR(LOOKUP(2^15, FIND($E$2:$E$48, C7), $E$2:$E$48), ""), ""))</f>
        <v>名古屋市中区錦1-1-1　ナゴヤグランドタワーナゴヤ</v>
      </c>
      <c r="B7" s="4"/>
      <c r="C7" s="2" t="s">
        <v>20</v>
      </c>
      <c r="D7" s="2" t="s">
        <v>13</v>
      </c>
      <c r="E7" s="8" t="s">
        <v>31</v>
      </c>
    </row>
    <row r="8" spans="1:5" ht="27" customHeight="1">
      <c r="A8" s="4" t="str" cm="1">
        <f t="array" ref="A8">TRIM(SUBSTITUTE(C8, IFERROR(LOOKUP(2^15, FIND($E$2:$E$48, C8), $E$2:$E$48), ""), ""))</f>
        <v>さいたま市大宮区桜木町1丁目1番地1号　OMIYA PLAZA</v>
      </c>
      <c r="B8" s="4"/>
      <c r="C8" s="2" t="s">
        <v>4</v>
      </c>
      <c r="D8" s="2" t="s">
        <v>14</v>
      </c>
      <c r="E8" s="8" t="s">
        <v>32</v>
      </c>
    </row>
    <row r="9" spans="1:5" ht="27" customHeight="1">
      <c r="A9" s="4" t="str" cm="1">
        <f t="array" ref="A9">TRIM(SUBSTITUTE(C9, IFERROR(LOOKUP(2^15, FIND($E$2:$E$48, C9), $E$2:$E$48), ""), ""))</f>
        <v>千葉市中央区富士見2丁目3-10　チバセンター</v>
      </c>
      <c r="B9" s="4"/>
      <c r="C9" s="2" t="s">
        <v>74</v>
      </c>
      <c r="D9" s="2" t="s">
        <v>15</v>
      </c>
      <c r="E9" s="8" t="s">
        <v>33</v>
      </c>
    </row>
    <row r="10" spans="1:5" ht="27" customHeight="1">
      <c r="A10" s="4" t="str" cm="1">
        <f t="array" ref="A10">TRIM(SUBSTITUTE(C10, IFERROR(LOOKUP(2^15, FIND($E$2:$E$48, C10), $E$2:$E$48), ""), ""))</f>
        <v>京都市下京区四条通烏丸東入長刀鉾町　ｷｮｳﾄビルディング</v>
      </c>
      <c r="B10" s="4"/>
      <c r="C10" s="2" t="s">
        <v>75</v>
      </c>
      <c r="D10" s="2" t="s">
        <v>16</v>
      </c>
      <c r="E10" s="8" t="s">
        <v>34</v>
      </c>
    </row>
    <row r="11" spans="1:5" ht="27" customHeight="1">
      <c r="A11" s="4" t="str" cm="1">
        <f t="array" ref="A11">TRIM(SUBSTITUTE(C11, IFERROR(LOOKUP(2^15, FIND($E$2:$E$48, C11), $E$2:$E$48), ""), ""))</f>
        <v>広島市中区紙屋町2丁目2番15号　ヒロシマタワー</v>
      </c>
      <c r="B11" s="4"/>
      <c r="C11" s="2" t="s">
        <v>5</v>
      </c>
      <c r="D11" s="2" t="s">
        <v>17</v>
      </c>
      <c r="E11" s="8" t="s">
        <v>35</v>
      </c>
    </row>
    <row r="12" spans="1:5">
      <c r="E12" s="8" t="s">
        <v>36</v>
      </c>
    </row>
    <row r="13" spans="1:5">
      <c r="E13" s="8" t="s">
        <v>37</v>
      </c>
    </row>
    <row r="14" spans="1:5">
      <c r="E14" s="8" t="s">
        <v>38</v>
      </c>
    </row>
    <row r="15" spans="1:5">
      <c r="E15" s="8" t="s">
        <v>39</v>
      </c>
    </row>
    <row r="16" spans="1:5">
      <c r="E16" s="8" t="s">
        <v>40</v>
      </c>
    </row>
    <row r="17" spans="5:5">
      <c r="E17" s="8" t="s">
        <v>41</v>
      </c>
    </row>
    <row r="18" spans="5:5">
      <c r="E18" s="8" t="s">
        <v>42</v>
      </c>
    </row>
    <row r="19" spans="5:5">
      <c r="E19" s="8" t="s">
        <v>43</v>
      </c>
    </row>
    <row r="20" spans="5:5">
      <c r="E20" s="8" t="s">
        <v>44</v>
      </c>
    </row>
    <row r="21" spans="5:5">
      <c r="E21" s="8" t="s">
        <v>45</v>
      </c>
    </row>
    <row r="22" spans="5:5">
      <c r="E22" s="8" t="s">
        <v>46</v>
      </c>
    </row>
    <row r="23" spans="5:5">
      <c r="E23" s="8" t="s">
        <v>47</v>
      </c>
    </row>
    <row r="24" spans="5:5">
      <c r="E24" s="8" t="s">
        <v>48</v>
      </c>
    </row>
    <row r="25" spans="5:5">
      <c r="E25" s="8" t="s">
        <v>49</v>
      </c>
    </row>
    <row r="26" spans="5:5">
      <c r="E26" s="8" t="s">
        <v>50</v>
      </c>
    </row>
    <row r="27" spans="5:5">
      <c r="E27" s="8" t="s">
        <v>51</v>
      </c>
    </row>
    <row r="28" spans="5:5">
      <c r="E28" s="8" t="s">
        <v>52</v>
      </c>
    </row>
    <row r="29" spans="5:5">
      <c r="E29" s="8" t="s">
        <v>53</v>
      </c>
    </row>
    <row r="30" spans="5:5">
      <c r="E30" s="8" t="s">
        <v>54</v>
      </c>
    </row>
    <row r="31" spans="5:5">
      <c r="E31" s="8" t="s">
        <v>55</v>
      </c>
    </row>
    <row r="32" spans="5:5">
      <c r="E32" s="8" t="s">
        <v>56</v>
      </c>
    </row>
    <row r="33" spans="5:5">
      <c r="E33" s="8" t="s">
        <v>57</v>
      </c>
    </row>
    <row r="34" spans="5:5">
      <c r="E34" s="8" t="s">
        <v>58</v>
      </c>
    </row>
    <row r="35" spans="5:5">
      <c r="E35" s="8" t="s">
        <v>59</v>
      </c>
    </row>
    <row r="36" spans="5:5">
      <c r="E36" s="8" t="s">
        <v>60</v>
      </c>
    </row>
    <row r="37" spans="5:5">
      <c r="E37" s="8" t="s">
        <v>61</v>
      </c>
    </row>
    <row r="38" spans="5:5">
      <c r="E38" s="8" t="s">
        <v>62</v>
      </c>
    </row>
    <row r="39" spans="5:5">
      <c r="E39" s="8" t="s">
        <v>63</v>
      </c>
    </row>
    <row r="40" spans="5:5">
      <c r="E40" s="8" t="s">
        <v>64</v>
      </c>
    </row>
    <row r="41" spans="5:5">
      <c r="E41" s="8" t="s">
        <v>65</v>
      </c>
    </row>
    <row r="42" spans="5:5">
      <c r="E42" s="8" t="s">
        <v>66</v>
      </c>
    </row>
    <row r="43" spans="5:5">
      <c r="E43" s="8" t="s">
        <v>67</v>
      </c>
    </row>
    <row r="44" spans="5:5">
      <c r="E44" s="8" t="s">
        <v>68</v>
      </c>
    </row>
    <row r="45" spans="5:5">
      <c r="E45" s="8" t="s">
        <v>69</v>
      </c>
    </row>
    <row r="46" spans="5:5">
      <c r="E46" s="8" t="s">
        <v>70</v>
      </c>
    </row>
    <row r="47" spans="5:5">
      <c r="E47" s="8" t="s">
        <v>71</v>
      </c>
    </row>
    <row r="48" spans="5:5">
      <c r="E48" s="8" t="s">
        <v>72</v>
      </c>
    </row>
  </sheetData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D7A9E-F38C-6847-91E8-B1503AE4963C}">
  <sheetPr codeName="Sheet11">
    <tabColor rgb="FFFFFF00"/>
  </sheetPr>
  <dimension ref="A1:D11"/>
  <sheetViews>
    <sheetView zoomScale="190" zoomScaleNormal="19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 cm="1">
        <f t="array" ref="A2">TRIM(SUBSTITUTE(C2,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C2),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新宿区西新宿2丁目8-1　SHINJUKUタワー</v>
      </c>
      <c r="B2" s="4"/>
      <c r="C2" s="2" t="s">
        <v>0</v>
      </c>
      <c r="D2" s="2" t="s">
        <v>8</v>
      </c>
    </row>
    <row r="3" spans="1:4" ht="27" customHeight="1">
      <c r="A3" s="4" t="str" cm="1">
        <f t="array" ref="A3">TRIM(SUBSTITUTE(C3,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C3),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札幌市中央区北3条西2丁目1番地　ﾎｯｶｲﾄﾞｳビル</v>
      </c>
      <c r="B3" s="4"/>
      <c r="C3" s="2" t="s">
        <v>73</v>
      </c>
      <c r="D3" s="2" t="s">
        <v>9</v>
      </c>
    </row>
    <row r="4" spans="1:4" ht="27" customHeight="1">
      <c r="A4" s="4" t="str" cm="1">
        <f t="array" ref="A4">TRIM(SUBSTITUTE(C4,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C4),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大阪市北区梅田3－1－1　グランフロントOSAKA</v>
      </c>
      <c r="B4" s="4"/>
      <c r="C4" s="2" t="s">
        <v>1</v>
      </c>
      <c r="D4" s="2" t="s">
        <v>10</v>
      </c>
    </row>
    <row r="5" spans="1:4" ht="27" customHeight="1">
      <c r="A5" s="4" t="str" cm="1">
        <f t="array" ref="A5">TRIM(SUBSTITUTE(C5,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C5),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福岡市博多区博多駅前1ー1ー1　ﾀﾜｰﾊｶﾀ</v>
      </c>
      <c r="B5" s="4"/>
      <c r="C5" s="2" t="s">
        <v>2</v>
      </c>
      <c r="D5" s="2" t="s">
        <v>11</v>
      </c>
    </row>
    <row r="6" spans="1:4" ht="27" customHeight="1">
      <c r="A6" s="4" t="str" cm="1">
        <f t="array" ref="A6">TRIM(SUBSTITUTE(C6,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C6),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横浜市西区みなとみらい3-5-1　ヨコハマﾋﾞﾙ</v>
      </c>
      <c r="B6" s="4"/>
      <c r="C6" s="2" t="s">
        <v>3</v>
      </c>
      <c r="D6" s="2" t="s">
        <v>12</v>
      </c>
    </row>
    <row r="7" spans="1:4" ht="27" customHeight="1">
      <c r="A7" s="4" t="str" cm="1">
        <f t="array" ref="A7">TRIM(SUBSTITUTE(C7,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C7),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名古屋市中区錦1-1-1　ナゴヤグランドタワーナゴヤ</v>
      </c>
      <c r="B7" s="4"/>
      <c r="C7" s="2" t="s">
        <v>20</v>
      </c>
      <c r="D7" s="2" t="s">
        <v>13</v>
      </c>
    </row>
    <row r="8" spans="1:4" ht="27" customHeight="1">
      <c r="A8" s="4" t="str" cm="1">
        <f t="array" ref="A8">TRIM(SUBSTITUTE(C8,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C8),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さいたま市大宮区桜木町1丁目1番地1号　OMIYA PLAZA</v>
      </c>
      <c r="B8" s="4"/>
      <c r="C8" s="2" t="s">
        <v>4</v>
      </c>
      <c r="D8" s="2" t="s">
        <v>14</v>
      </c>
    </row>
    <row r="9" spans="1:4" ht="27" customHeight="1">
      <c r="A9" s="4" t="str" cm="1">
        <f t="array" ref="A9">TRIM(SUBSTITUTE(C9,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C9),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千葉市中央区富士見2丁目3-10　チバセンター</v>
      </c>
      <c r="B9" s="4"/>
      <c r="C9" s="2" t="s">
        <v>74</v>
      </c>
      <c r="D9" s="2" t="s">
        <v>15</v>
      </c>
    </row>
    <row r="10" spans="1:4" ht="27" customHeight="1">
      <c r="A10" s="4" t="str" cm="1">
        <f t="array" ref="A10">TRIM(SUBSTITUTE(C10,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C10),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京都市下京区四条通烏丸東入長刀鉾町　ｷｮｳﾄビルディング</v>
      </c>
      <c r="B10" s="4"/>
      <c r="C10" s="2" t="s">
        <v>75</v>
      </c>
      <c r="D10" s="2" t="s">
        <v>16</v>
      </c>
    </row>
    <row r="11" spans="1:4" ht="27" customHeight="1">
      <c r="A11" s="4" t="str" cm="1">
        <f t="array" ref="A11">TRIM(SUBSTITUTE(C11, IFERROR(LOOKUP(2^15, FIND(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, C11), {"北海道","青森県","岩手県","宮城県","秋田県","山形県","福島県","茨城県","栃木県","群馬県","埼玉県","千葉県","東京都","神奈川県","新潟県","富山県","石川県","福井県","山梨県","長野県","岐阜県","静岡県","愛知県","三重県","滋賀県","京都府","大阪府","兵庫県","奈良県","和歌山県","鳥取県","島根県","岡山県","広島県","山口県","徳島県","香川県","愛媛県","高知県","福岡県","佐賀県","長崎県","熊本県","大分県","宮崎県","鹿児島県","沖縄県"}), ""), ""))</f>
        <v>広島市中区紙屋町2丁目2番15号　ヒロシマタワー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34B3B-D630-A74C-86A5-B5FBB4D122BB}">
  <sheetPr codeName="Sheet12">
    <tabColor rgb="FFFFFF00"/>
  </sheetPr>
  <dimension ref="A1:D11"/>
  <sheetViews>
    <sheetView zoomScale="190" zoomScaleNormal="190" workbookViewId="0">
      <selection activeCell="E9" sqref="E9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">
        <v>77</v>
      </c>
      <c r="B2" s="4"/>
      <c r="C2" s="2" t="s">
        <v>0</v>
      </c>
      <c r="D2" s="2" t="s">
        <v>8</v>
      </c>
    </row>
    <row r="3" spans="1:4" ht="27" customHeight="1">
      <c r="A3" s="4" t="s">
        <v>78</v>
      </c>
      <c r="B3" s="4"/>
      <c r="C3" s="2" t="s">
        <v>73</v>
      </c>
      <c r="D3" s="2" t="s">
        <v>9</v>
      </c>
    </row>
    <row r="4" spans="1:4" ht="27" customHeight="1">
      <c r="A4" s="4" t="s">
        <v>79</v>
      </c>
      <c r="B4" s="4"/>
      <c r="C4" s="2" t="s">
        <v>1</v>
      </c>
      <c r="D4" s="2" t="s">
        <v>10</v>
      </c>
    </row>
    <row r="5" spans="1:4" ht="27" customHeight="1">
      <c r="A5" s="4" t="s">
        <v>2</v>
      </c>
      <c r="B5" s="4"/>
      <c r="C5" s="2" t="s">
        <v>2</v>
      </c>
      <c r="D5" s="2" t="s">
        <v>11</v>
      </c>
    </row>
    <row r="6" spans="1:4" ht="27" customHeight="1">
      <c r="A6" s="4" t="s">
        <v>80</v>
      </c>
      <c r="B6" s="4"/>
      <c r="C6" s="2" t="s">
        <v>3</v>
      </c>
      <c r="D6" s="2" t="s">
        <v>12</v>
      </c>
    </row>
    <row r="7" spans="1:4" ht="27" customHeight="1">
      <c r="A7" s="4" t="s">
        <v>81</v>
      </c>
      <c r="B7" s="4"/>
      <c r="C7" s="2" t="s">
        <v>20</v>
      </c>
      <c r="D7" s="2" t="s">
        <v>13</v>
      </c>
    </row>
    <row r="8" spans="1:4" ht="27" customHeight="1">
      <c r="A8" s="4" t="s">
        <v>4</v>
      </c>
      <c r="B8" s="4"/>
      <c r="C8" s="2" t="s">
        <v>4</v>
      </c>
      <c r="D8" s="2" t="s">
        <v>14</v>
      </c>
    </row>
    <row r="9" spans="1:4" ht="27" customHeight="1">
      <c r="A9" s="4" t="s">
        <v>82</v>
      </c>
      <c r="B9" s="4"/>
      <c r="C9" s="2" t="s">
        <v>74</v>
      </c>
      <c r="D9" s="2" t="s">
        <v>15</v>
      </c>
    </row>
    <row r="10" spans="1:4" ht="27" customHeight="1">
      <c r="A10" s="4" t="s">
        <v>83</v>
      </c>
      <c r="B10" s="4"/>
      <c r="C10" s="2" t="s">
        <v>75</v>
      </c>
      <c r="D10" s="2" t="s">
        <v>16</v>
      </c>
    </row>
    <row r="11" spans="1:4" ht="27" customHeight="1">
      <c r="A11" s="4" t="s">
        <v>84</v>
      </c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767F03-3652-4F4B-8ABD-2AFCC7C6C273}">
  <sheetPr codeName="Sheet13">
    <tabColor rgb="FFFFFF00"/>
  </sheetPr>
  <dimension ref="A1:D11"/>
  <sheetViews>
    <sheetView zoomScale="200" zoomScaleNormal="200" workbookViewId="0">
      <selection activeCell="A2" sqref="A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1.57031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DBCS(C2)</f>
        <v>東京都新宿区西新宿２丁目８－１　ＳＨＩＮＪＵＫＵタワー</v>
      </c>
      <c r="B2" s="4" t="str">
        <f>DBCS(D2)</f>
        <v>０３－１２３４－５６７８</v>
      </c>
      <c r="C2" s="2" t="s">
        <v>0</v>
      </c>
      <c r="D2" s="2" t="s">
        <v>8</v>
      </c>
    </row>
    <row r="3" spans="1:4" ht="27" customHeight="1">
      <c r="A3" s="4" t="str">
        <f t="shared" ref="A3:A11" si="0">DBCS(C3)</f>
        <v>北海道札幌市中央区北３条西２丁目１番地　ホッカイドウビル</v>
      </c>
      <c r="B3" s="4" t="str">
        <f t="shared" ref="B3:B11" si="1">DBCS(D3)</f>
        <v>０１１－２３４－５６７８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大阪府大阪市北区梅田３－１－１　グランフロントＯＳＡＫＡ</v>
      </c>
      <c r="B4" s="4" t="str">
        <f t="shared" si="1"/>
        <v>０６－６５７８－１２３４</v>
      </c>
      <c r="C4" s="2" t="s">
        <v>1</v>
      </c>
      <c r="D4" s="2" t="s">
        <v>10</v>
      </c>
    </row>
    <row r="5" spans="1:4" ht="27" customHeight="1">
      <c r="A5" s="4" t="str">
        <f t="shared" si="0"/>
        <v>福岡市博多区博多駅前１ー１ー１　タワーハカタ</v>
      </c>
      <c r="B5" s="4" t="str">
        <f t="shared" si="1"/>
        <v>０９２ー２３４ー１２３４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神奈川県横浜市西区みなとみらい３－５－１　ヨコハマビル</v>
      </c>
      <c r="B6" s="4" t="str">
        <f t="shared" si="1"/>
        <v>０４５－１２３４－５６７８</v>
      </c>
      <c r="C6" s="2" t="s">
        <v>3</v>
      </c>
      <c r="D6" s="2" t="s">
        <v>12</v>
      </c>
    </row>
    <row r="7" spans="1:4" ht="27" customHeight="1">
      <c r="A7" s="4" t="str">
        <f t="shared" si="0"/>
        <v>名古屋市中区錦１－１－１　ナゴヤグランドタワーナゴヤ</v>
      </c>
      <c r="B7" s="4" t="str">
        <f t="shared" si="1"/>
        <v>０５２－１２３４－５６７８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さいたま市大宮区桜木町１丁目１番地１号　ＯＭＩＹＡ　ＰＬＡＺＡ</v>
      </c>
      <c r="B8" s="4" t="str">
        <f t="shared" si="1"/>
        <v>０４８－９８７６－１２３４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千葉県千葉市中央区富士見２丁目３－１０　チバセンター</v>
      </c>
      <c r="B9" s="4" t="str">
        <f t="shared" si="1"/>
        <v>０４３ー１２３ー４５６７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　キョウトビルディング</v>
      </c>
      <c r="B10" s="4" t="str">
        <f t="shared" si="1"/>
        <v>０７５－２３４－５６７８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広島県広島市中区紙屋町２丁目２番１５号　ヒロシマタワー</v>
      </c>
      <c r="B11" s="4" t="str">
        <f t="shared" si="1"/>
        <v>０８２－５６７８－１２３４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D425-22B9-6042-88B0-0EDB3A996D84}">
  <sheetPr codeName="Sheet17">
    <tabColor rgb="FFFFFF00"/>
  </sheetPr>
  <dimension ref="A1:E11"/>
  <sheetViews>
    <sheetView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_xlfn.TEXTJOIN("",,IF(_xlfn.UNICODE(MID(C2,_xlfn.SEQUENCE(LEN(C2)),1))&gt;=65281,
   CHAR(_xlfn.UNICODE(MID(C2,_xlfn.SEQUENCE(LEN(C2)),1))-65248),
   MID(C2,_xlfn.SEQUENCE(LEN(C2)),1)))</f>
        <v>東京都新宿区西新宿2丁目8-1　SHINJUKUタワー</v>
      </c>
      <c r="B2" s="4" t="str" cm="1">
        <f t="array" ref="B2">_xlfn.TEXTJOIN("",,IF(_xlfn.UNICODE(MID(D2,_xlfn.SEQUENCE(LEN(D2)),1))&gt;=65281,
   CHAR(_xlfn.UNICODE(MID(D2,_xlfn.SEQUENCE(LEN(D2)),1))-65248),
   MID(D2,_xlfn.SEQUENCE(LEN(D2)),1)))</f>
        <v>03-1234-5678</v>
      </c>
      <c r="C2" s="2" t="s">
        <v>92</v>
      </c>
      <c r="D2" s="2" t="s">
        <v>93</v>
      </c>
    </row>
    <row r="3" spans="1:5" ht="27" customHeight="1">
      <c r="A3" s="4" t="str" cm="1">
        <f t="array" ref="A3">_xlfn.TEXTJOIN("",,IF(_xlfn.UNICODE(MID(C3,_xlfn.SEQUENCE(LEN(C3)),1))&gt;=65281,
   CHAR(_xlfn.UNICODE(MID(C3,_xlfn.SEQUENCE(LEN(C3)),1))-65248),
   MID(C3,_xlfn.SEQUENCE(LEN(C3)),1)))</f>
        <v>北海道札幌市中央区北3条西2丁目1番地　ホッカイドウビル</v>
      </c>
      <c r="B3" s="4" t="str" cm="1">
        <f t="array" ref="B3">_xlfn.TEXTJOIN("",,IF(_xlfn.UNICODE(MID(D3,_xlfn.SEQUENCE(LEN(D3)),1))&gt;=65281,
   CHAR(_xlfn.UNICODE(MID(D3,_xlfn.SEQUENCE(LEN(D3)),1))-65248),
   MID(D3,_xlfn.SEQUENCE(LEN(D3)),1)))</f>
        <v>011-234-5678</v>
      </c>
      <c r="C3" s="2" t="s">
        <v>94</v>
      </c>
      <c r="D3" s="2" t="s">
        <v>9</v>
      </c>
    </row>
    <row r="4" spans="1:5" ht="27" customHeight="1">
      <c r="A4" s="4" t="str" cm="1">
        <f t="array" ref="A4">_xlfn.TEXTJOIN("",,IF(_xlfn.UNICODE(MID(C4,_xlfn.SEQUENCE(LEN(C4)),1))&gt;=65281,
   CHAR(_xlfn.UNICODE(MID(C4,_xlfn.SEQUENCE(LEN(C4)),1))-65248),
   MID(C4,_xlfn.SEQUENCE(LEN(C4)),1)))</f>
        <v>大阪府大阪市北区梅田3-1-1　グランフロントOSAKA</v>
      </c>
      <c r="B4" s="4" t="str" cm="1">
        <f t="array" ref="B4">_xlfn.TEXTJOIN("",,IF(_xlfn.UNICODE(MID(D4,_xlfn.SEQUENCE(LEN(D4)),1))&gt;=65281,
   CHAR(_xlfn.UNICODE(MID(D4,_xlfn.SEQUENCE(LEN(D4)),1))-65248),
   MID(D4,_xlfn.SEQUENCE(LEN(D4)),1)))</f>
        <v>06-6578-1234</v>
      </c>
      <c r="C4" s="2" t="s">
        <v>95</v>
      </c>
      <c r="D4" s="2" t="s">
        <v>96</v>
      </c>
    </row>
    <row r="5" spans="1:5" ht="27" customHeight="1">
      <c r="A5" s="4" t="str" cm="1">
        <f t="array" ref="A5">_xlfn.TEXTJOIN("",,IF(_xlfn.UNICODE(MID(C5,_xlfn.SEQUENCE(LEN(C5)),1))&gt;=65281,
   CHAR(_xlfn.UNICODE(MID(C5,_xlfn.SEQUENCE(LEN(C5)),1))-65248),
   MID(C5,_xlfn.SEQUENCE(LEN(C5)),1)))</f>
        <v>福岡市博多区博多駅前1ー1ー1　タワーハカタ</v>
      </c>
      <c r="B5" s="4" t="str" cm="1">
        <f t="array" ref="B5">_xlfn.TEXTJOIN("",,IF(_xlfn.UNICODE(MID(D5,_xlfn.SEQUENCE(LEN(D5)),1))&gt;=65281,
   CHAR(_xlfn.UNICODE(MID(D5,_xlfn.SEQUENCE(LEN(D5)),1))-65248),
   MID(D5,_xlfn.SEQUENCE(LEN(D5)),1)))</f>
        <v>092ー234ー1234</v>
      </c>
      <c r="C5" s="11" t="s">
        <v>97</v>
      </c>
      <c r="D5" s="11" t="s">
        <v>11</v>
      </c>
    </row>
    <row r="6" spans="1:5" ht="27" customHeight="1">
      <c r="A6" s="4" t="str" cm="1">
        <f t="array" ref="A6">_xlfn.TEXTJOIN("",,IF(_xlfn.UNICODE(MID(C6,_xlfn.SEQUENCE(LEN(C6)),1))&gt;=65281,
   CHAR(_xlfn.UNICODE(MID(C6,_xlfn.SEQUENCE(LEN(C6)),1))-65248),
   MID(C6,_xlfn.SEQUENCE(LEN(C6)),1)))</f>
        <v>神奈川県横浜市西区みなとみらい3-5-1　ヨコハマビル</v>
      </c>
      <c r="B6" s="4" t="str" cm="1">
        <f t="array" ref="B6">_xlfn.TEXTJOIN("",,IF(_xlfn.UNICODE(MID(D6,_xlfn.SEQUENCE(LEN(D6)),1))&gt;=65281,
   CHAR(_xlfn.UNICODE(MID(D6,_xlfn.SEQUENCE(LEN(D6)),1))-65248),
   MID(D6,_xlfn.SEQUENCE(LEN(D6)),1)))</f>
        <v>045-1234-5678</v>
      </c>
      <c r="C6" s="2" t="s">
        <v>98</v>
      </c>
      <c r="D6" s="2" t="s">
        <v>99</v>
      </c>
    </row>
    <row r="7" spans="1:5" ht="27" customHeight="1">
      <c r="A7" s="4" t="str" cm="1">
        <f t="array" ref="A7">_xlfn.TEXTJOIN("",,IF(_xlfn.UNICODE(MID(C7,_xlfn.SEQUENCE(LEN(C7)),1))&gt;=65281,
   CHAR(_xlfn.UNICODE(MID(C7,_xlfn.SEQUENCE(LEN(C7)),1))-65248),
   MID(C7,_xlfn.SEQUENCE(LEN(C7)),1)))</f>
        <v>名古屋市中区錦1-1-1　ナゴヤグランドタワーナゴヤ</v>
      </c>
      <c r="B7" s="4" t="str" cm="1">
        <f t="array" ref="B7">_xlfn.TEXTJOIN("",,IF(_xlfn.UNICODE(MID(D7,_xlfn.SEQUENCE(LEN(D7)),1))&gt;=65281,
   CHAR(_xlfn.UNICODE(MID(D7,_xlfn.SEQUENCE(LEN(D7)),1))-65248),
   MID(D7,_xlfn.SEQUENCE(LEN(D7)),1)))</f>
        <v>052-1234-5678</v>
      </c>
      <c r="C7" s="2" t="s">
        <v>100</v>
      </c>
      <c r="D7" s="2" t="s">
        <v>101</v>
      </c>
    </row>
    <row r="8" spans="1:5" ht="27" customHeight="1">
      <c r="A8" s="4" t="str" cm="1">
        <f t="array" ref="A8">_xlfn.TEXTJOIN("",,IF(_xlfn.UNICODE(MID(C8,_xlfn.SEQUENCE(LEN(C8)),1))&gt;=65281,
   CHAR(_xlfn.UNICODE(MID(C8,_xlfn.SEQUENCE(LEN(C8)),1))-65248),
   MID(C8,_xlfn.SEQUENCE(LEN(C8)),1)))</f>
        <v>さいたま市大宮区桜木町1丁目1番地1号　OMIYA　PLAZA</v>
      </c>
      <c r="B8" s="4" t="str" cm="1">
        <f t="array" ref="B8">_xlfn.TEXTJOIN("",,IF(_xlfn.UNICODE(MID(D8,_xlfn.SEQUENCE(LEN(D8)),1))&gt;=65281,
   CHAR(_xlfn.UNICODE(MID(D8,_xlfn.SEQUENCE(LEN(D8)),1))-65248),
   MID(D8,_xlfn.SEQUENCE(LEN(D8)),1)))</f>
        <v>048-9876-1234</v>
      </c>
      <c r="C8" s="2" t="s">
        <v>102</v>
      </c>
      <c r="D8" s="2" t="s">
        <v>103</v>
      </c>
    </row>
    <row r="9" spans="1:5" ht="27" customHeight="1">
      <c r="A9" s="4" t="str" cm="1">
        <f t="array" ref="A9">_xlfn.TEXTJOIN("",,IF(_xlfn.UNICODE(MID(C9,_xlfn.SEQUENCE(LEN(C9)),1))&gt;=65281,
   CHAR(_xlfn.UNICODE(MID(C9,_xlfn.SEQUENCE(LEN(C9)),1))-65248),
   MID(C9,_xlfn.SEQUENCE(LEN(C9)),1)))</f>
        <v>千葉県千葉市中央区富士見2丁目3-10　チバセンター</v>
      </c>
      <c r="B9" s="4" t="str" cm="1">
        <f t="array" ref="B9">_xlfn.TEXTJOIN("",,IF(_xlfn.UNICODE(MID(D9,_xlfn.SEQUENCE(LEN(D9)),1))&gt;=65281,
   CHAR(_xlfn.UNICODE(MID(D9,_xlfn.SEQUENCE(LEN(D9)),1))-65248),
   MID(D9,_xlfn.SEQUENCE(LEN(D9)),1)))</f>
        <v>043ー123ー4567</v>
      </c>
      <c r="C9" s="2" t="s">
        <v>104</v>
      </c>
      <c r="D9" s="11" t="s">
        <v>15</v>
      </c>
    </row>
    <row r="10" spans="1:5" ht="27" customHeight="1">
      <c r="A10" s="4" t="str" cm="1">
        <f t="array" ref="A10">_xlfn.TEXTJOIN("",,IF(_xlfn.UNICODE(MID(C10,_xlfn.SEQUENCE(LEN(C10)),1))&gt;=65281,
   CHAR(_xlfn.UNICODE(MID(C10,_xlfn.SEQUENCE(LEN(C10)),1))-65248),
   MID(C10,_xlfn.SEQUENCE(LEN(C10)),1)))</f>
        <v>京都府京都市下京区四条通烏丸東入長刀鉾町　キョウトビルディング</v>
      </c>
      <c r="B10" s="4" t="str" cm="1">
        <f t="array" ref="B10">_xlfn.TEXTJOIN("",,IF(_xlfn.UNICODE(MID(D10,_xlfn.SEQUENCE(LEN(D10)),1))&gt;=65281,
   CHAR(_xlfn.UNICODE(MID(D10,_xlfn.SEQUENCE(LEN(D10)),1))-65248),
   MID(D10,_xlfn.SEQUENCE(LEN(D10)),1)))</f>
        <v>075-234-5678</v>
      </c>
      <c r="C10" s="2" t="s">
        <v>105</v>
      </c>
      <c r="D10" s="2" t="s">
        <v>106</v>
      </c>
    </row>
    <row r="11" spans="1:5" ht="27" customHeight="1">
      <c r="A11" s="4" t="str" cm="1">
        <f t="array" ref="A11">_xlfn.TEXTJOIN("",,IF(_xlfn.UNICODE(MID(C11,_xlfn.SEQUENCE(LEN(C11)),1))&gt;=65281,
   CHAR(_xlfn.UNICODE(MID(C11,_xlfn.SEQUENCE(LEN(C11)),1))-65248),
   MID(C11,_xlfn.SEQUENCE(LEN(C11)),1)))</f>
        <v>広島県広島市中区紙屋町2丁目2番15号　ヒロシマタワー</v>
      </c>
      <c r="B11" s="4" t="str" cm="1">
        <f t="array" ref="B11">_xlfn.TEXTJOIN("",,IF(_xlfn.UNICODE(MID(D11,_xlfn.SEQUENCE(LEN(D11)),1))&gt;=65281,
   CHAR(_xlfn.UNICODE(MID(D11,_xlfn.SEQUENCE(LEN(D11)),1))-65248),
   MID(D11,_xlfn.SEQUENCE(LEN(D11)),1)))</f>
        <v>082-5678-1234</v>
      </c>
      <c r="C11" s="2" t="s">
        <v>107</v>
      </c>
      <c r="D11" s="2" t="s">
        <v>17</v>
      </c>
    </row>
  </sheetData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BC2579-4C47-4947-A3C3-827B695A3BE1}">
  <sheetPr codeName="Sheet20">
    <tabColor rgb="FFFFFF00"/>
  </sheetPr>
  <dimension ref="A1:E11"/>
  <sheetViews>
    <sheetView tabSelected="1" zoomScale="200" zoomScaleNormal="20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13.28515625" bestFit="1" customWidth="1"/>
  </cols>
  <sheetData>
    <row r="1" spans="1:5" ht="53" customHeight="1">
      <c r="A1" s="3" t="s">
        <v>18</v>
      </c>
      <c r="B1" s="3" t="s">
        <v>19</v>
      </c>
      <c r="C1" s="1" t="s">
        <v>6</v>
      </c>
      <c r="D1" s="1" t="s">
        <v>7</v>
      </c>
      <c r="E1" s="10"/>
    </row>
    <row r="2" spans="1:5" ht="27" customHeight="1">
      <c r="A2" s="4" t="str" cm="1">
        <f t="array" ref="A2">_xlfn.TEXTJOIN("",,IF(AND(OR(MID(C2,_xlfn.SEQUENCE(LEN(C2)),1)="－",MID(C2,_xlfn.SEQUENCE(LEN(C2)),1)="ー"),ISNUMBER(FIND(MID(C2,_xlfn.SEQUENCE(LEN(C2))-1,1),"0123456789ABCDEFGHIJKLMNOPQRSTUVWXYZabcdefghijklmnopqrstuvwxyz"))),"-",MID(C2,_xlfn.SEQUENCE(LEN(C2)),1)))</f>
        <v>東京都新宿区西新宿2丁目8-1　SHINJUKUタワー</v>
      </c>
      <c r="B2" s="4" t="str" cm="1">
        <f t="array" ref="B2">_xlfn.TEXTJOIN("",,IF(AND(OR(MID(D2,_xlfn.SEQUENCE(LEN(D2)),1)="－",MID(D2,_xlfn.SEQUENCE(LEN(D2)),1)="ー"),ISNUMBER(FIND(MID(D2,_xlfn.SEQUENCE(LEN(D2))-1,1),"0123456789ABCDEFGHIJKLMNOPQRSTUVWXYZabcdefghijklmnopqrstuvwxyz"))),
    "-",
    MID(D2,_xlfn.SEQUENCE(LEN(D2)),1)))</f>
        <v>03-1234-5678</v>
      </c>
      <c r="C2" s="2" t="s">
        <v>0</v>
      </c>
      <c r="D2" s="2" t="s">
        <v>8</v>
      </c>
    </row>
    <row r="3" spans="1:5" ht="27" customHeight="1">
      <c r="A3" s="4" t="str" cm="1">
        <f t="array" ref="A3">_xlfn.TEXTJOIN("",,IF(AND(OR(MID(C3,_xlfn.SEQUENCE(LEN(C3)),1)="－",MID(C3,_xlfn.SEQUENCE(LEN(C3)),1)="ー"),ISNUMBER(FIND(MID(C3,_xlfn.SEQUENCE(LEN(C3))-1,1),"0123456789ABCDEFGHIJKLMNOPQRSTUVWXYZabcdefghijklmnopqrstuvwxyz"))),"-",MID(C3,_xlfn.SEQUENCE(LEN(C3)),1)))</f>
        <v>北海道札幌市中央区北3条西2丁目1番地　ホッカイドウビル</v>
      </c>
      <c r="B3" s="4" t="str" cm="1">
        <f t="array" ref="B3">_xlfn.TEXTJOIN("",,IF(AND(OR(MID(D3,_xlfn.SEQUENCE(LEN(D3)),1)="－",MID(D3,_xlfn.SEQUENCE(LEN(D3)),1)="ー"),ISNUMBER(FIND(MID(D3,_xlfn.SEQUENCE(LEN(D3))-1,1),"0123456789ABCDEFGHIJKLMNOPQRSTUVWXYZabcdefghijklmnopqrstuvwxyz"))),
    "-",
    MID(D3,_xlfn.SEQUENCE(LEN(D3)),1)))</f>
        <v>011-234-5678</v>
      </c>
      <c r="C3" s="2" t="s">
        <v>108</v>
      </c>
      <c r="D3" s="2" t="s">
        <v>109</v>
      </c>
    </row>
    <row r="4" spans="1:5" ht="27" customHeight="1">
      <c r="A4" s="4" t="str" cm="1">
        <f t="array" ref="A4">_xlfn.TEXTJOIN("",,IF(AND(OR(MID(C4,_xlfn.SEQUENCE(LEN(C4)),1)="－",MID(C4,_xlfn.SEQUENCE(LEN(C4)),1)="ー"),ISNUMBER(FIND(MID(C4,_xlfn.SEQUENCE(LEN(C4))-1,1),"0123456789ABCDEFGHIJKLMNOPQRSTUVWXYZabcdefghijklmnopqrstuvwxyz"))),"-",MID(C4,_xlfn.SEQUENCE(LEN(C4)),1)))</f>
        <v>大阪府大阪市北区梅田3-1-1　グランフロントOSAKA</v>
      </c>
      <c r="B4" s="4" t="str" cm="1">
        <f t="array" ref="B4">_xlfn.TEXTJOIN("",,IF(AND(OR(MID(D4,_xlfn.SEQUENCE(LEN(D4)),1)="－",MID(D4,_xlfn.SEQUENCE(LEN(D4)),1)="ー"),ISNUMBER(FIND(MID(D4,_xlfn.SEQUENCE(LEN(D4))-1,1),"0123456789ABCDEFGHIJKLMNOPQRSTUVWXYZabcdefghijklmnopqrstuvwxyz"))),
    "-",
    MID(D4,_xlfn.SEQUENCE(LEN(D4)),1)))</f>
        <v>06-6578-1234</v>
      </c>
      <c r="C4" s="2" t="s">
        <v>110</v>
      </c>
      <c r="D4" s="2" t="s">
        <v>111</v>
      </c>
    </row>
    <row r="5" spans="1:5" ht="27" customHeight="1">
      <c r="A5" s="4" t="str" cm="1">
        <f t="array" ref="A5">_xlfn.TEXTJOIN("",,IF(AND(OR(MID(C5,_xlfn.SEQUENCE(LEN(C5)),1)="－",MID(C5,_xlfn.SEQUENCE(LEN(C5)),1)="ー"),ISNUMBER(FIND(MID(C5,_xlfn.SEQUENCE(LEN(C5))-1,1),"0123456789ABCDEFGHIJKLMNOPQRSTUVWXYZabcdefghijklmnopqrstuvwxyz"))),"-",MID(C5,_xlfn.SEQUENCE(LEN(C5)),1)))</f>
        <v>福岡市博多区博多駅前1ー1ー1　タワーハカタ</v>
      </c>
      <c r="B5" s="4" t="str" cm="1">
        <f t="array" ref="B5">_xlfn.TEXTJOIN("",,IF(AND(OR(MID(D5,_xlfn.SEQUENCE(LEN(D5)),1)="－",MID(D5,_xlfn.SEQUENCE(LEN(D5)),1)="ー"),ISNUMBER(FIND(MID(D5,_xlfn.SEQUENCE(LEN(D5))-1,1),"0123456789ABCDEFGHIJKLMNOPQRSTUVWXYZabcdefghijklmnopqrstuvwxyz"))),
    "-",
    MID(D5,_xlfn.SEQUENCE(LEN(D5)),1)))</f>
        <v>092ー234ー1234</v>
      </c>
      <c r="C5" s="11" t="s">
        <v>121</v>
      </c>
      <c r="D5" s="11" t="s">
        <v>112</v>
      </c>
    </row>
    <row r="6" spans="1:5" ht="27" customHeight="1">
      <c r="A6" s="4" t="str" cm="1">
        <f t="array" ref="A6">_xlfn.TEXTJOIN("",,IF(AND(OR(MID(C6,_xlfn.SEQUENCE(LEN(C6)),1)="－",MID(C6,_xlfn.SEQUENCE(LEN(C6)),1)="ー"),ISNUMBER(FIND(MID(C6,_xlfn.SEQUENCE(LEN(C6))-1,1),"0123456789ABCDEFGHIJKLMNOPQRSTUVWXYZabcdefghijklmnopqrstuvwxyz"))),"-",MID(C6,_xlfn.SEQUENCE(LEN(C6)),1)))</f>
        <v>神奈川県横浜市西区みなとみらい3-5-1　ヨコハマビル</v>
      </c>
      <c r="B6" s="4" t="str" cm="1">
        <f t="array" ref="B6">_xlfn.TEXTJOIN("",,IF(AND(OR(MID(D6,_xlfn.SEQUENCE(LEN(D6)),1)="－",MID(D6,_xlfn.SEQUENCE(LEN(D6)),1)="ー"),ISNUMBER(FIND(MID(D6,_xlfn.SEQUENCE(LEN(D6))-1,1),"0123456789ABCDEFGHIJKLMNOPQRSTUVWXYZabcdefghijklmnopqrstuvwxyz"))),
    "-",
    MID(D6,_xlfn.SEQUENCE(LEN(D6)),1)))</f>
        <v>045-1234-5678</v>
      </c>
      <c r="C6" s="2" t="s">
        <v>113</v>
      </c>
      <c r="D6" s="2" t="s">
        <v>114</v>
      </c>
    </row>
    <row r="7" spans="1:5" ht="27" customHeight="1">
      <c r="A7" s="4" t="str" cm="1">
        <f t="array" ref="A7">_xlfn.TEXTJOIN("",,IF(AND(OR(MID(C7,_xlfn.SEQUENCE(LEN(C7)),1)="－",MID(C7,_xlfn.SEQUENCE(LEN(C7)),1)="ー"),ISNUMBER(FIND(MID(C7,_xlfn.SEQUENCE(LEN(C7))-1,1),"0123456789ABCDEFGHIJKLMNOPQRSTUVWXYZabcdefghijklmnopqrstuvwxyz"))),"-",MID(C7,_xlfn.SEQUENCE(LEN(C7)),1)))</f>
        <v>名古屋市中区錦1-1-1　ナゴヤグランドタワーナゴヤ</v>
      </c>
      <c r="B7" s="4" t="str" cm="1">
        <f t="array" ref="B7">_xlfn.TEXTJOIN("",,IF(AND(OR(MID(D7,_xlfn.SEQUENCE(LEN(D7)),1)="－",MID(D7,_xlfn.SEQUENCE(LEN(D7)),1)="ー"),ISNUMBER(FIND(MID(D7,_xlfn.SEQUENCE(LEN(D7))-1,1),"0123456789ABCDEFGHIJKLMNOPQRSTUVWXYZabcdefghijklmnopqrstuvwxyz"))),
    "-",
    MID(D7,_xlfn.SEQUENCE(LEN(D7)),1)))</f>
        <v>052-1234-5678</v>
      </c>
      <c r="C7" s="2" t="s">
        <v>81</v>
      </c>
      <c r="D7" s="2" t="s">
        <v>115</v>
      </c>
    </row>
    <row r="8" spans="1:5" ht="27" customHeight="1">
      <c r="A8" s="4" t="str" cm="1">
        <f t="array" ref="A8">_xlfn.TEXTJOIN("",,IF(AND(OR(MID(C8,_xlfn.SEQUENCE(LEN(C8)),1)="－",MID(C8,_xlfn.SEQUENCE(LEN(C8)),1)="ー"),ISNUMBER(FIND(MID(C8,_xlfn.SEQUENCE(LEN(C8))-1,1),"0123456789ABCDEFGHIJKLMNOPQRSTUVWXYZabcdefghijklmnopqrstuvwxyz"))),"-",MID(C8,_xlfn.SEQUENCE(LEN(C8)),1)))</f>
        <v>さいたま市大宮区桜木町1丁目1番地1号　OMIYA　PLAZA</v>
      </c>
      <c r="B8" s="4" t="str" cm="1">
        <f t="array" ref="B8">_xlfn.TEXTJOIN("",,IF(AND(OR(MID(D8,_xlfn.SEQUENCE(LEN(D8)),1)="－",MID(D8,_xlfn.SEQUENCE(LEN(D8)),1)="ー"),ISNUMBER(FIND(MID(D8,_xlfn.SEQUENCE(LEN(D8))-1,1),"0123456789ABCDEFGHIJKLMNOPQRSTUVWXYZabcdefghijklmnopqrstuvwxyz"))),
    "-",
    MID(D8,_xlfn.SEQUENCE(LEN(D8)),1)))</f>
        <v>048-9876-1234</v>
      </c>
      <c r="C8" s="2" t="s">
        <v>116</v>
      </c>
      <c r="D8" s="2" t="s">
        <v>117</v>
      </c>
    </row>
    <row r="9" spans="1:5" ht="27" customHeight="1">
      <c r="A9" s="4" t="str" cm="1">
        <f t="array" ref="A9">_xlfn.TEXTJOIN("",,IF(AND(OR(MID(C9,_xlfn.SEQUENCE(LEN(C9)),1)="－",MID(C9,_xlfn.SEQUENCE(LEN(C9)),1)="ー"),ISNUMBER(FIND(MID(C9,_xlfn.SEQUENCE(LEN(C9))-1,1),"0123456789ABCDEFGHIJKLMNOPQRSTUVWXYZabcdefghijklmnopqrstuvwxyz"))),"-",MID(C9,_xlfn.SEQUENCE(LEN(C9)),1)))</f>
        <v>千葉県千葉市中央区富士見2丁目3-10　チバセンター</v>
      </c>
      <c r="B9" s="4" t="str" cm="1">
        <f t="array" ref="B9">_xlfn.TEXTJOIN("",,IF(AND(OR(MID(D9,_xlfn.SEQUENCE(LEN(D9)),1)="－",MID(D9,_xlfn.SEQUENCE(LEN(D9)),1)="ー"),ISNUMBER(FIND(MID(D9,_xlfn.SEQUENCE(LEN(D9))-1,1),"0123456789ABCDEFGHIJKLMNOPQRSTUVWXYZabcdefghijklmnopqrstuvwxyz"))),
    "-",
    MID(D9,_xlfn.SEQUENCE(LEN(D9)),1)))</f>
        <v>043ー123ー4567</v>
      </c>
      <c r="C9" s="2" t="s">
        <v>118</v>
      </c>
      <c r="D9" s="11" t="s">
        <v>119</v>
      </c>
    </row>
    <row r="10" spans="1:5" ht="27" customHeight="1">
      <c r="A10" s="4" t="str" cm="1">
        <f t="array" ref="A10">_xlfn.TEXTJOIN("",,IF(AND(OR(MID(C10,_xlfn.SEQUENCE(LEN(C10)),1)="－",MID(C10,_xlfn.SEQUENCE(LEN(C10)),1)="ー"),ISNUMBER(FIND(MID(C10,_xlfn.SEQUENCE(LEN(C10))-1,1),"0123456789ABCDEFGHIJKLMNOPQRSTUVWXYZabcdefghijklmnopqrstuvwxyz"))),"-",MID(C10,_xlfn.SEQUENCE(LEN(C10)),1)))</f>
        <v>京都府京都市下京区四条通烏丸東入長刀鉾町　キョウトビルディング</v>
      </c>
      <c r="B10" s="4" t="str" cm="1">
        <f t="array" ref="B10">_xlfn.TEXTJOIN("",,IF(AND(OR(MID(D10,_xlfn.SEQUENCE(LEN(D10)),1)="－",MID(D10,_xlfn.SEQUENCE(LEN(D10)),1)="ー"),ISNUMBER(FIND(MID(D10,_xlfn.SEQUENCE(LEN(D10))-1,1),"0123456789ABCDEFGHIJKLMNOPQRSTUVWXYZabcdefghijklmnopqrstuvwxyz"))),
    "-",
    MID(D10,_xlfn.SEQUENCE(LEN(D10)),1)))</f>
        <v>075-234-5678</v>
      </c>
      <c r="C10" s="2" t="s">
        <v>105</v>
      </c>
      <c r="D10" s="2" t="s">
        <v>16</v>
      </c>
    </row>
    <row r="11" spans="1:5" ht="27" customHeight="1">
      <c r="A11" s="4" t="str" cm="1">
        <f t="array" ref="A11">_xlfn.TEXTJOIN("",,IF(AND(OR(MID(C11,_xlfn.SEQUENCE(LEN(C11)),1)="－",MID(C11,_xlfn.SEQUENCE(LEN(C11)),1)="ー"),ISNUMBER(FIND(MID(C11,_xlfn.SEQUENCE(LEN(C11))-1,1),"0123456789ABCDEFGHIJKLMNOPQRSTUVWXYZabcdefghijklmnopqrstuvwxyz"))),"-",MID(C11,_xlfn.SEQUENCE(LEN(C11)),1)))</f>
        <v>広島県広島市中区紙屋町2丁目2番15号　ヒロシマタワー</v>
      </c>
      <c r="B11" s="4" t="str" cm="1">
        <f t="array" ref="B11">_xlfn.TEXTJOIN("",,IF(AND(OR(MID(D11,_xlfn.SEQUENCE(LEN(D11)),1)="－",MID(D11,_xlfn.SEQUENCE(LEN(D11)),1)="ー"),ISNUMBER(FIND(MID(D11,_xlfn.SEQUENCE(LEN(D11))-1,1),"0123456789ABCDEFGHIJKLMNOPQRSTUVWXYZabcdefghijklmnopqrstuvwxyz"))),
    "-",
    MID(D11,_xlfn.SEQUENCE(LEN(D11)),1)))</f>
        <v>082-5678-1234</v>
      </c>
      <c r="C11" s="2" t="s">
        <v>5</v>
      </c>
      <c r="D11" s="2" t="s">
        <v>120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8C912-C17E-7047-A046-DCFEABE95406}">
  <sheetPr codeName="Sheet14">
    <tabColor rgb="FFFFFF00"/>
  </sheetPr>
  <dimension ref="A1:F11"/>
  <sheetViews>
    <sheetView zoomScale="190" zoomScaleNormal="190" workbookViewId="0">
      <selection activeCell="A3" sqref="A3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  <col min="5" max="5" width="50.5703125" bestFit="1" customWidth="1"/>
    <col min="6" max="6" width="46.5703125" bestFit="1" customWidth="1"/>
  </cols>
  <sheetData>
    <row r="1" spans="1:6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6" ht="27" customHeight="1">
      <c r="A2" s="4" t="str" cm="1">
        <f t="array" ref="A2">NormalizeJapaneseText(C2)</f>
        <v>東京都新宿区西新宿2丁目8-1 SHINJUKUタワー</v>
      </c>
      <c r="B2" s="4" t="str" cm="1">
        <f t="array" ref="B2">NormalizeJapaneseText(D2)</f>
        <v>03-1234-5678</v>
      </c>
      <c r="C2" s="2" t="s">
        <v>90</v>
      </c>
      <c r="D2" s="2" t="s">
        <v>8</v>
      </c>
      <c r="E2" t="s">
        <v>123</v>
      </c>
      <c r="F2" s="2" t="s">
        <v>124</v>
      </c>
    </row>
    <row r="3" spans="1:6" ht="27" customHeight="1">
      <c r="A3" s="4" t="str" cm="1">
        <f t="array" ref="A3">NormalizeJapaneseText(C3)</f>
        <v>北海道札幌市中央区北3条西2丁目1番地 ホッカイドﾞウビル</v>
      </c>
      <c r="B3" s="4" t="str" cm="1">
        <f t="array" ref="B3">NormalizeJapaneseText(D3)</f>
        <v>011－234－5678</v>
      </c>
      <c r="C3" s="2" t="s">
        <v>73</v>
      </c>
      <c r="D3" s="2" t="s">
        <v>122</v>
      </c>
    </row>
    <row r="4" spans="1:6" ht="27" customHeight="1">
      <c r="A4" s="4" t="str" cm="1">
        <f t="array" ref="A4">NormalizeJapaneseText(C4)</f>
        <v>大阪府大阪市北区梅田3－1－1 グランフロントOSAKA</v>
      </c>
      <c r="B4" s="4" t="str" cm="1">
        <f t="array" ref="B4">NormalizeJapaneseText(D4)</f>
        <v>06-6578-1234</v>
      </c>
      <c r="C4" s="2" t="s">
        <v>85</v>
      </c>
      <c r="D4" s="2" t="s">
        <v>10</v>
      </c>
    </row>
    <row r="5" spans="1:6" ht="27" customHeight="1">
      <c r="A5" s="4" t="str" cm="1">
        <f t="array" ref="A5">NormalizeJapaneseText(C5)</f>
        <v>福岡市博多区博多駅前1ー1ー1 タワーハカタ</v>
      </c>
      <c r="B5" s="4" t="str" cm="1">
        <f t="array" ref="B5">NormalizeJapaneseText(D5)</f>
        <v>092ー234ー1234</v>
      </c>
      <c r="C5" s="2" t="s">
        <v>2</v>
      </c>
      <c r="D5" s="2" t="s">
        <v>11</v>
      </c>
    </row>
    <row r="6" spans="1:6" ht="27" customHeight="1">
      <c r="A6" s="4" t="str" cm="1">
        <f t="array" ref="A6">NormalizeJapaneseText(C6)</f>
        <v>神奈川県横浜市西区みなとみらい3-5-1 ヨコハマビﾞル</v>
      </c>
      <c r="B6" s="4" t="str" cm="1">
        <f t="array" ref="B6">NormalizeJapaneseText(D6)</f>
        <v>045-1234-5678</v>
      </c>
      <c r="C6" s="2" t="s">
        <v>91</v>
      </c>
      <c r="D6" s="2" t="s">
        <v>12</v>
      </c>
    </row>
    <row r="7" spans="1:6" ht="27" customHeight="1">
      <c r="A7" s="4" t="str" cm="1">
        <f t="array" ref="A7">NormalizeJapaneseText(C7)</f>
        <v>名古屋市中区錦1-1-1 ナゴヤグランドタワーナゴヤ</v>
      </c>
      <c r="B7" s="4" t="str" cm="1">
        <f t="array" ref="B7">NormalizeJapaneseText(D7)</f>
        <v>052－1234－5678</v>
      </c>
      <c r="C7" s="2" t="s">
        <v>20</v>
      </c>
      <c r="D7" s="2" t="s">
        <v>13</v>
      </c>
    </row>
    <row r="8" spans="1:6" ht="27" customHeight="1">
      <c r="A8" s="4" t="str" cm="1">
        <f t="array" ref="A8">NormalizeJapaneseText(C8)</f>
        <v>さいたま市大宮区桜木町1丁目1番地1号 OMIYA PLAZA</v>
      </c>
      <c r="B8" s="4" t="str" cm="1">
        <f t="array" ref="B8">NormalizeJapaneseText(D8)</f>
        <v>048-9876-1234</v>
      </c>
      <c r="C8" s="2" t="s">
        <v>4</v>
      </c>
      <c r="D8" s="2" t="s">
        <v>14</v>
      </c>
    </row>
    <row r="9" spans="1:6" ht="27" customHeight="1">
      <c r="A9" s="4" t="str" cm="1">
        <f t="array" ref="A9">NormalizeJapaneseText(C9)</f>
        <v>千葉県千葉市中央区富士見2丁目3-10 チバセンター</v>
      </c>
      <c r="B9" s="4" t="str" cm="1">
        <f t="array" ref="B9">NormalizeJapaneseText(D9)</f>
        <v>043ー123ー4567</v>
      </c>
      <c r="C9" s="2" t="s">
        <v>74</v>
      </c>
      <c r="D9" s="2" t="s">
        <v>15</v>
      </c>
    </row>
    <row r="10" spans="1:6" ht="27" customHeight="1">
      <c r="A10" s="4" t="str" cm="1">
        <f t="array" ref="A10">NormalizeJapaneseText(C10)</f>
        <v>京都府京都市下京区四条通烏丸東入長刀鉾町 キョウトビルディング</v>
      </c>
      <c r="B10" s="4" t="str" cm="1">
        <f t="array" ref="B10">NormalizeJapaneseText(D10)</f>
        <v>075-234-5678</v>
      </c>
      <c r="C10" s="2" t="s">
        <v>75</v>
      </c>
      <c r="D10" s="2" t="s">
        <v>16</v>
      </c>
    </row>
    <row r="11" spans="1:6" ht="27" customHeight="1">
      <c r="A11" s="4" t="str" cm="1">
        <f t="array" ref="A11">NormalizeJapaneseText(C11)</f>
        <v>広島県広島市中区紙屋町2丁目2番15号 ヒロシマタワー</v>
      </c>
      <c r="B11" s="4" t="str" cm="1">
        <f t="array" ref="B11">NormalizeJapaneseText(D11)</f>
        <v>082－5678－1234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BA40-0BB5-2943-B1B5-A75D2BA54F8D}">
  <sheetPr codeName="Sheet19">
    <tabColor rgb="FFFFFF00"/>
  </sheetPr>
  <dimension ref="A1:D11"/>
  <sheetViews>
    <sheetView zoomScale="190" zoomScaleNormal="190" workbookViewId="0">
      <selection activeCell="C5" sqref="C5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str">
        <f>ASC(C2)</f>
        <v>東京都新宿区西新宿2丁目8-1 SHINJUKUﾀﾜｰ</v>
      </c>
      <c r="B2" s="4" t="str">
        <f>ASC(D2)</f>
        <v>03-1234-5678</v>
      </c>
      <c r="C2" s="2" t="s">
        <v>90</v>
      </c>
      <c r="D2" s="2" t="s">
        <v>8</v>
      </c>
    </row>
    <row r="3" spans="1:4" ht="27" customHeight="1">
      <c r="A3" s="4" t="str">
        <f t="shared" ref="A3:A11" si="0">ASC(C3)</f>
        <v>北海道札幌市中央区北3条西2丁目1番地 ﾎｯｶｲﾄﾞｳﾋﾞﾙ</v>
      </c>
      <c r="B3" s="4" t="str">
        <f t="shared" ref="B3:B11" si="1">ASC(D3)</f>
        <v>011-234-5678</v>
      </c>
      <c r="C3" s="2" t="s">
        <v>73</v>
      </c>
      <c r="D3" s="2" t="s">
        <v>9</v>
      </c>
    </row>
    <row r="4" spans="1:4" ht="27" customHeight="1">
      <c r="A4" s="4" t="str">
        <f t="shared" si="0"/>
        <v>大阪府大阪市北区梅田3-1-1 ｸﾞﾗﾝﾌﾛﾝﾄOSAKA</v>
      </c>
      <c r="B4" s="4" t="str">
        <f t="shared" si="1"/>
        <v>06-6578-1234</v>
      </c>
      <c r="C4" s="2" t="s">
        <v>85</v>
      </c>
      <c r="D4" s="2" t="s">
        <v>10</v>
      </c>
    </row>
    <row r="5" spans="1:4" ht="27" customHeight="1">
      <c r="A5" s="4" t="str">
        <f t="shared" si="0"/>
        <v>福岡市博多区博多駅前1ｰ1ｰ1 ﾀﾜｰﾊｶﾀ</v>
      </c>
      <c r="B5" s="4" t="str">
        <f t="shared" si="1"/>
        <v>092ｰ234ｰ1234</v>
      </c>
      <c r="C5" s="2" t="s">
        <v>2</v>
      </c>
      <c r="D5" s="2" t="s">
        <v>11</v>
      </c>
    </row>
    <row r="6" spans="1:4" ht="27" customHeight="1">
      <c r="A6" s="4" t="str">
        <f t="shared" si="0"/>
        <v>神奈川県横浜市西区みなとみらい3-5-1 ﾖｺﾊﾏﾋﾞﾙ</v>
      </c>
      <c r="B6" s="4" t="str">
        <f t="shared" si="1"/>
        <v>045-1234-5678</v>
      </c>
      <c r="C6" s="2" t="s">
        <v>91</v>
      </c>
      <c r="D6" s="2" t="s">
        <v>12</v>
      </c>
    </row>
    <row r="7" spans="1:4" ht="27" customHeight="1">
      <c r="A7" s="4" t="str">
        <f t="shared" si="0"/>
        <v>名古屋市中区錦1-1-1 ﾅｺﾞﾔｸﾞﾗﾝﾄﾞﾀﾜｰﾅｺﾞﾔ</v>
      </c>
      <c r="B7" s="4" t="str">
        <f t="shared" si="1"/>
        <v>052-1234-5678</v>
      </c>
      <c r="C7" s="2" t="s">
        <v>20</v>
      </c>
      <c r="D7" s="2" t="s">
        <v>13</v>
      </c>
    </row>
    <row r="8" spans="1:4" ht="27" customHeight="1">
      <c r="A8" s="4" t="str">
        <f t="shared" si="0"/>
        <v>さいたま市大宮区桜木町1丁目1番地1号 OMIYA PLAZA</v>
      </c>
      <c r="B8" s="4" t="str">
        <f t="shared" si="1"/>
        <v>048-9876-1234</v>
      </c>
      <c r="C8" s="2" t="s">
        <v>4</v>
      </c>
      <c r="D8" s="2" t="s">
        <v>14</v>
      </c>
    </row>
    <row r="9" spans="1:4" ht="27" customHeight="1">
      <c r="A9" s="4" t="str">
        <f t="shared" si="0"/>
        <v>千葉県千葉市中央区富士見2丁目3-10 ﾁﾊﾞｾﾝﾀｰ</v>
      </c>
      <c r="B9" s="4" t="str">
        <f t="shared" si="1"/>
        <v>043ｰ123ｰ4567</v>
      </c>
      <c r="C9" s="2" t="s">
        <v>74</v>
      </c>
      <c r="D9" s="2" t="s">
        <v>15</v>
      </c>
    </row>
    <row r="10" spans="1:4" ht="27" customHeight="1">
      <c r="A10" s="4" t="str">
        <f t="shared" si="0"/>
        <v>京都府京都市下京区四条通烏丸東入長刀鉾町 ｷｮｳﾄﾋﾞﾙﾃﾞｨﾝｸﾞ</v>
      </c>
      <c r="B10" s="4" t="str">
        <f t="shared" si="1"/>
        <v>075-234-5678</v>
      </c>
      <c r="C10" s="2" t="s">
        <v>75</v>
      </c>
      <c r="D10" s="2" t="s">
        <v>16</v>
      </c>
    </row>
    <row r="11" spans="1:4" ht="27" customHeight="1">
      <c r="A11" s="4" t="str">
        <f t="shared" si="0"/>
        <v>広島県広島市中区紙屋町2丁目2番15号 ﾋﾛｼﾏﾀﾜｰ</v>
      </c>
      <c r="B11" s="4" t="str">
        <f t="shared" si="1"/>
        <v>082-5678-1234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214FD1-CE14-8345-8902-66A89054F544}">
  <sheetPr codeName="Sheet15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4CE81-3DD2-5E40-A7C7-E34523139521}">
  <sheetPr codeName="Sheet16">
    <tabColor rgb="FFFFFF00"/>
  </sheetPr>
  <dimension ref="A1:D11"/>
  <sheetViews>
    <sheetView zoomScale="190" zoomScaleNormal="190" workbookViewId="0">
      <selection activeCell="C2" sqref="C2"/>
    </sheetView>
    <sheetView zoomScale="190" zoomScaleNormal="190"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/>
      <c r="B2" s="4"/>
      <c r="C2" s="2" t="s">
        <v>0</v>
      </c>
      <c r="D2" s="2" t="s">
        <v>8</v>
      </c>
    </row>
    <row r="3" spans="1:4" ht="27" customHeight="1">
      <c r="A3" s="4"/>
      <c r="B3" s="4"/>
      <c r="C3" s="2" t="s">
        <v>73</v>
      </c>
      <c r="D3" s="2" t="s">
        <v>9</v>
      </c>
    </row>
    <row r="4" spans="1:4" ht="27" customHeight="1">
      <c r="A4" s="4"/>
      <c r="B4" s="4"/>
      <c r="C4" s="2" t="s">
        <v>1</v>
      </c>
      <c r="D4" s="2" t="s">
        <v>10</v>
      </c>
    </row>
    <row r="5" spans="1:4" ht="27" customHeight="1">
      <c r="A5" s="4"/>
      <c r="B5" s="4"/>
      <c r="C5" s="2" t="s">
        <v>2</v>
      </c>
      <c r="D5" s="2" t="s">
        <v>11</v>
      </c>
    </row>
    <row r="6" spans="1:4" ht="27" customHeight="1">
      <c r="A6" s="4"/>
      <c r="B6" s="4"/>
      <c r="C6" s="2" t="s">
        <v>3</v>
      </c>
      <c r="D6" s="2" t="s">
        <v>12</v>
      </c>
    </row>
    <row r="7" spans="1:4" ht="27" customHeight="1">
      <c r="A7" s="4"/>
      <c r="B7" s="4"/>
      <c r="C7" s="2" t="s">
        <v>20</v>
      </c>
      <c r="D7" s="2" t="s">
        <v>13</v>
      </c>
    </row>
    <row r="8" spans="1:4" ht="27" customHeight="1">
      <c r="A8" s="4"/>
      <c r="B8" s="4"/>
      <c r="C8" s="2" t="s">
        <v>4</v>
      </c>
      <c r="D8" s="2" t="s">
        <v>14</v>
      </c>
    </row>
    <row r="9" spans="1:4" ht="27" customHeight="1">
      <c r="A9" s="4"/>
      <c r="B9" s="4"/>
      <c r="C9" s="2" t="s">
        <v>74</v>
      </c>
      <c r="D9" s="2" t="s">
        <v>15</v>
      </c>
    </row>
    <row r="10" spans="1:4" ht="27" customHeight="1">
      <c r="A10" s="4"/>
      <c r="B10" s="4"/>
      <c r="C10" s="2" t="s">
        <v>75</v>
      </c>
      <c r="D10" s="2" t="s">
        <v>16</v>
      </c>
    </row>
    <row r="11" spans="1:4" ht="27" customHeight="1">
      <c r="A11" s="4"/>
      <c r="B11" s="4"/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D70E52-C8EC-DD46-8D91-BA56A4C219AF}">
  <sheetPr codeName="Sheet18">
    <tabColor rgb="FFFFFF00"/>
  </sheetPr>
  <dimension ref="A1:D11"/>
  <sheetViews>
    <sheetView zoomScale="190" zoomScaleNormal="190" workbookViewId="0">
      <selection activeCell="A2" sqref="A2"/>
    </sheetView>
    <sheetView workbookViewId="1"/>
  </sheetViews>
  <sheetFormatPr baseColWidth="10" defaultRowHeight="20"/>
  <cols>
    <col min="1" max="1" width="56.28515625" customWidth="1"/>
    <col min="2" max="2" width="26.140625" customWidth="1"/>
    <col min="3" max="3" width="55.28515625" bestFit="1" customWidth="1"/>
    <col min="4" max="4" width="25.140625" bestFit="1" customWidth="1"/>
  </cols>
  <sheetData>
    <row r="1" spans="1:4" ht="53" customHeight="1">
      <c r="A1" s="3" t="s">
        <v>18</v>
      </c>
      <c r="B1" s="3" t="s">
        <v>19</v>
      </c>
      <c r="C1" s="1" t="s">
        <v>6</v>
      </c>
      <c r="D1" s="1" t="s">
        <v>7</v>
      </c>
    </row>
    <row r="2" spans="1:4" ht="27" customHeight="1">
      <c r="A2" s="4" t="e" cm="1">
        <f t="array" ref="A2">NormalizeJapaneseText(C2)</f>
        <v>#VALUE!</v>
      </c>
      <c r="B2" s="4" t="e" cm="1">
        <f t="array" ref="B2">NormalizeJapaneseText(D2)</f>
        <v>#VALUE!</v>
      </c>
      <c r="C2" s="2" t="s">
        <v>86</v>
      </c>
      <c r="D2" s="2" t="s">
        <v>8</v>
      </c>
    </row>
    <row r="3" spans="1:4" ht="27" customHeight="1">
      <c r="A3" s="4" t="e" cm="1">
        <f t="array" ref="A3">NormalizeJapaneseText(C3)</f>
        <v>#VALUE!</v>
      </c>
      <c r="B3" s="4" t="e" cm="1">
        <f t="array" ref="B3">NormalizeJapaneseText(D3)</f>
        <v>#VALUE!</v>
      </c>
      <c r="C3" s="2" t="s">
        <v>87</v>
      </c>
      <c r="D3" s="2" t="s">
        <v>89</v>
      </c>
    </row>
    <row r="4" spans="1:4" ht="27" customHeight="1">
      <c r="A4" s="4" t="e" cm="1">
        <f t="array" ref="A4">NormalizeJapaneseText(C4)</f>
        <v>#VALUE!</v>
      </c>
      <c r="B4" s="4" t="e" cm="1">
        <f t="array" ref="B4">NormalizeJapaneseText(D4)</f>
        <v>#VALUE!</v>
      </c>
      <c r="C4" s="2" t="s">
        <v>85</v>
      </c>
      <c r="D4" s="2" t="s">
        <v>10</v>
      </c>
    </row>
    <row r="5" spans="1:4" ht="27" customHeight="1">
      <c r="A5" s="4" t="e" cm="1">
        <f t="array" ref="A5">NormalizeJapaneseText(C5)</f>
        <v>#VALUE!</v>
      </c>
      <c r="B5" s="4" t="e" cm="1">
        <f t="array" ref="B5">NormalizeJapaneseText(D5)</f>
        <v>#VALUE!</v>
      </c>
      <c r="C5" s="2" t="s">
        <v>2</v>
      </c>
      <c r="D5" s="2" t="s">
        <v>11</v>
      </c>
    </row>
    <row r="6" spans="1:4" ht="27" customHeight="1">
      <c r="A6" s="4" t="e" cm="1">
        <f t="array" ref="A6">NormalizeJapaneseText(C6)</f>
        <v>#VALUE!</v>
      </c>
      <c r="B6" s="4" t="e" cm="1">
        <f t="array" ref="B6">NormalizeJapaneseText(D6)</f>
        <v>#VALUE!</v>
      </c>
      <c r="C6" s="2" t="s">
        <v>3</v>
      </c>
      <c r="D6" s="2" t="s">
        <v>12</v>
      </c>
    </row>
    <row r="7" spans="1:4" ht="27" customHeight="1">
      <c r="A7" s="4" t="e" cm="1">
        <f t="array" ref="A7">NormalizeJapaneseText(C7)</f>
        <v>#VALUE!</v>
      </c>
      <c r="B7" s="4" t="e" cm="1">
        <f t="array" ref="B7">NormalizeJapaneseText(D7)</f>
        <v>#VALUE!</v>
      </c>
      <c r="C7" s="2" t="s">
        <v>20</v>
      </c>
      <c r="D7" s="2" t="s">
        <v>13</v>
      </c>
    </row>
    <row r="8" spans="1:4" ht="27" customHeight="1">
      <c r="A8" s="4" t="e" cm="1">
        <f t="array" ref="A8">NormalizeJapaneseText(C8)</f>
        <v>#VALUE!</v>
      </c>
      <c r="B8" s="4" t="e" cm="1">
        <f t="array" ref="B8">NormalizeJapaneseText(D8)</f>
        <v>#VALUE!</v>
      </c>
      <c r="C8" s="2" t="s">
        <v>88</v>
      </c>
      <c r="D8" s="2" t="s">
        <v>14</v>
      </c>
    </row>
    <row r="9" spans="1:4" ht="27" customHeight="1">
      <c r="A9" s="4" t="e" cm="1">
        <f t="array" ref="A9">NormalizeJapaneseText(C9)</f>
        <v>#VALUE!</v>
      </c>
      <c r="B9" s="4" t="e" cm="1">
        <f t="array" ref="B9">NormalizeJapaneseText(D9)</f>
        <v>#VALUE!</v>
      </c>
      <c r="C9" s="2" t="s">
        <v>74</v>
      </c>
      <c r="D9" s="2" t="s">
        <v>15</v>
      </c>
    </row>
    <row r="10" spans="1:4" ht="27" customHeight="1">
      <c r="A10" s="4" t="e" cm="1">
        <f t="array" ref="A10">NormalizeJapaneseText(C10)</f>
        <v>#VALUE!</v>
      </c>
      <c r="B10" s="4" t="e" cm="1">
        <f t="array" ref="B10">NormalizeJapaneseText(D10)</f>
        <v>#VALUE!</v>
      </c>
      <c r="C10" s="2" t="s">
        <v>75</v>
      </c>
      <c r="D10" s="2" t="s">
        <v>16</v>
      </c>
    </row>
    <row r="11" spans="1:4" ht="27" customHeight="1">
      <c r="A11" s="4" t="e" cm="1">
        <f t="array" ref="A11">NormalizeJapaneseText(C11)</f>
        <v>#VALUE!</v>
      </c>
      <c r="B11" s="4" t="e" cm="1">
        <f t="array" ref="B11">NormalizeJapaneseText(D11)</f>
        <v>#VALUE!</v>
      </c>
      <c r="C11" s="2" t="s">
        <v>5</v>
      </c>
      <c r="D11" s="2" t="s">
        <v>17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2E5FE-0FF7-8941-B861-7EF4A2E6D9B2}">
  <sheetPr codeName="Sheet8">
    <tabColor theme="5"/>
  </sheetPr>
  <dimension ref="A1:B5"/>
  <sheetViews>
    <sheetView zoomScale="250" zoomScaleNormal="250" workbookViewId="0">
      <selection activeCell="C4" sqref="C4"/>
    </sheetView>
    <sheetView workbookViewId="1">
      <selection activeCell="I25" sqref="I25"/>
    </sheetView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/>
      <c r="B5" s="4"/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DDF91-985F-ED43-ADDF-F738096D38A6}">
  <sheetPr codeName="Sheet9">
    <tabColor theme="5"/>
  </sheetPr>
  <dimension ref="A1:B5"/>
  <sheetViews>
    <sheetView zoomScale="250" zoomScaleNormal="250" workbookViewId="0">
      <selection activeCell="A6" sqref="A6"/>
    </sheetView>
    <sheetView workbookViewId="1"/>
  </sheetViews>
  <sheetFormatPr baseColWidth="10" defaultRowHeight="20"/>
  <cols>
    <col min="1" max="1" width="56.28515625" customWidth="1"/>
    <col min="2" max="2" width="26.140625" customWidth="1"/>
  </cols>
  <sheetData>
    <row r="1" spans="1:2" ht="48" customHeight="1">
      <c r="A1" s="5" t="s">
        <v>6</v>
      </c>
      <c r="B1" s="5" t="s">
        <v>7</v>
      </c>
    </row>
    <row r="2" spans="1:2" ht="68" customHeight="1">
      <c r="A2" s="2" t="s">
        <v>21</v>
      </c>
      <c r="B2" s="2" t="s">
        <v>22</v>
      </c>
    </row>
    <row r="3" spans="1:2" ht="14" customHeight="1">
      <c r="A3" s="7"/>
      <c r="B3" s="7"/>
    </row>
    <row r="4" spans="1:2" ht="48" customHeight="1">
      <c r="A4" s="6" t="s">
        <v>18</v>
      </c>
      <c r="B4" s="6" t="s">
        <v>19</v>
      </c>
    </row>
    <row r="5" spans="1:2" ht="68" customHeight="1">
      <c r="A5" s="4" t="s">
        <v>24</v>
      </c>
      <c r="B5" s="4" t="s">
        <v>23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P1_都道府県削除</vt:lpstr>
      <vt:lpstr>P２_都道府県削除</vt:lpstr>
      <vt:lpstr>P３_都道府県削除</vt:lpstr>
      <vt:lpstr>P4_全角半角</vt:lpstr>
      <vt:lpstr>P5_全角半角</vt:lpstr>
      <vt:lpstr>P6_全角半角</vt:lpstr>
      <vt:lpstr>P7_マージ</vt:lpstr>
      <vt:lpstr>module (1)</vt:lpstr>
      <vt:lpstr>module (2)</vt:lpstr>
      <vt:lpstr>module (3)</vt:lpstr>
      <vt:lpstr>module (4-1)</vt:lpstr>
      <vt:lpstr>module (4-2)</vt:lpstr>
      <vt:lpstr>module (4-3) </vt:lpstr>
      <vt:lpstr>module (5)</vt:lpstr>
      <vt:lpstr>module (9)</vt:lpstr>
      <vt:lpstr>module (6)</vt:lpstr>
      <vt:lpstr>module (7)</vt:lpstr>
      <vt:lpstr>module (8)</vt:lpstr>
      <vt:lpstr>方針0</vt:lpstr>
      <vt:lpstr>方針1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Office365</dc:creator>
  <cp:lastModifiedBy>Office365</cp:lastModifiedBy>
  <dcterms:created xsi:type="dcterms:W3CDTF">2025-01-18T06:06:43Z</dcterms:created>
  <dcterms:modified xsi:type="dcterms:W3CDTF">2025-01-26T16:51:05Z</dcterms:modified>
</cp:coreProperties>
</file>