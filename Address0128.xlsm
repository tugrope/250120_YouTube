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-sasaki/Desktop/★★★S_作業場所/sjGitHub/250120_YouTube/"/>
    </mc:Choice>
  </mc:AlternateContent>
  <xr:revisionPtr revIDLastSave="0" documentId="13_ncr:1_{A0C453BA-30D9-244C-810A-EFCA83BD14F6}" xr6:coauthVersionLast="47" xr6:coauthVersionMax="47" xr10:uidLastSave="{00000000-0000-0000-0000-000000000000}"/>
  <bookViews>
    <workbookView xWindow="20" yWindow="500" windowWidth="51180" windowHeight="20520" activeTab="9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2_全角半角" sheetId="31" r:id="rId7"/>
    <sheet name="P6-3_全角半角" sheetId="32" r:id="rId8"/>
    <sheet name="P6-4_全角半角" sheetId="35" r:id="rId9"/>
    <sheet name="P6-5_全角半角" sheetId="34" r:id="rId10"/>
    <sheet name="P7_全角半角" sheetId="6" r:id="rId11"/>
    <sheet name="P8_マージ" sheetId="7" r:id="rId12"/>
    <sheet name="module (1)" sheetId="9" r:id="rId13"/>
    <sheet name="module (2)" sheetId="14" r:id="rId14"/>
    <sheet name="module (3)" sheetId="15" r:id="rId15"/>
    <sheet name="module (4-1)" sheetId="16" r:id="rId16"/>
    <sheet name="module (4-2)" sheetId="22" r:id="rId17"/>
    <sheet name="module (4-3) " sheetId="25" r:id="rId18"/>
    <sheet name="module (5)" sheetId="17" r:id="rId19"/>
    <sheet name="module (6-3)" sheetId="27" r:id="rId20"/>
    <sheet name="module (6-4)" sheetId="38" r:id="rId21"/>
    <sheet name="module (6-5)" sheetId="40" r:id="rId22"/>
    <sheet name="module (7)" sheetId="19" r:id="rId23"/>
    <sheet name="module (11)" sheetId="39" r:id="rId24"/>
    <sheet name="module (8)" sheetId="23" r:id="rId25"/>
    <sheet name="module (9)" sheetId="36" r:id="rId26"/>
    <sheet name="module (10)" sheetId="37" r:id="rId27"/>
    <sheet name="方針0" sheetId="20" r:id="rId28"/>
    <sheet name="方針1" sheetId="21" r:id="rId29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7" l="1" a="1"/>
  <c r="B5" i="27" a="1"/>
  <c r="A8" i="27" a="1"/>
  <c r="B10" i="27" a="1"/>
  <c r="A6" i="27" a="1"/>
  <c r="B8" i="27" a="1"/>
  <c r="A11" i="27" a="1"/>
  <c r="B6" i="27" a="1"/>
  <c r="A9" i="27" a="1"/>
  <c r="B11" i="27" a="1"/>
  <c r="B4" i="27" a="1"/>
  <c r="A7" i="27" a="1"/>
  <c r="B9" i="27" a="1"/>
  <c r="A5" i="27" a="1"/>
  <c r="B7" i="27" a="1"/>
  <c r="A10" i="27" a="1"/>
  <c r="B3" i="27" a="1"/>
  <c r="A4" i="27" a="1"/>
  <c r="B2" i="27" a="1"/>
  <c r="A2" i="27" a="1"/>
  <c r="A3" i="38" a="1"/>
  <c r="A3" i="37" a="1"/>
  <c r="B10" i="37" a="1"/>
  <c r="A2" i="38" a="1"/>
  <c r="A2" i="17" a="1"/>
  <c r="B3" i="36" a="1"/>
  <c r="B10" i="17" a="1"/>
  <c r="A11" i="36" a="1"/>
  <c r="B4" i="17" a="1"/>
  <c r="B11" i="38" a="1"/>
  <c r="A10" i="36" a="1"/>
  <c r="A3" i="17" a="1"/>
  <c r="A7" i="37" a="1"/>
  <c r="A7" i="17" a="1"/>
  <c r="B8" i="36" a="1"/>
  <c r="B5" i="17" a="1"/>
  <c r="A9" i="37" a="1"/>
  <c r="A4" i="36" a="1"/>
  <c r="A4" i="37" a="1"/>
  <c r="A6" i="38" a="1"/>
  <c r="A6" i="37" a="1"/>
  <c r="B3" i="17" a="1"/>
  <c r="B2" i="37" a="1"/>
  <c r="B7" i="17" a="1"/>
  <c r="A6" i="17" a="1"/>
  <c r="B9" i="17" a="1"/>
  <c r="B10" i="38" a="1"/>
  <c r="B6" i="17" a="1"/>
  <c r="B2" i="17" a="1"/>
  <c r="B11" i="17" a="1"/>
  <c r="A8" i="37" a="1"/>
  <c r="B8" i="17" a="1"/>
  <c r="B7" i="36" a="1"/>
  <c r="B4" i="38" a="1"/>
  <c r="B5" i="38" a="1"/>
  <c r="B11" i="36" a="1"/>
  <c r="A3" i="36" a="1"/>
  <c r="B7" i="38" a="1"/>
  <c r="B8" i="38" a="1"/>
  <c r="A5" i="36" a="1"/>
  <c r="A7" i="38" a="1"/>
  <c r="A9" i="17" a="1"/>
  <c r="B7" i="37" a="1"/>
  <c r="B9" i="37" a="1"/>
  <c r="A11" i="38" a="1"/>
  <c r="B4" i="36" a="1"/>
  <c r="A4" i="38" a="1"/>
  <c r="A10" i="38" a="1"/>
  <c r="A9" i="36" a="1"/>
  <c r="B2" i="36" a="1"/>
  <c r="A6" i="36" a="1"/>
  <c r="B8" i="37" a="1"/>
  <c r="B2" i="38" a="1"/>
  <c r="B9" i="38" a="1"/>
  <c r="B11" i="37" a="1"/>
  <c r="A8" i="17" a="1"/>
  <c r="A8" i="38" a="1"/>
  <c r="A12" i="17" a="1"/>
  <c r="A2" i="36" a="1"/>
  <c r="B10" i="36" a="1"/>
  <c r="B5" i="37" a="1"/>
  <c r="A4" i="17" a="1"/>
  <c r="B6" i="36" a="1"/>
  <c r="A5" i="38" a="1"/>
  <c r="A5" i="17" a="1"/>
  <c r="B6" i="38" a="1"/>
  <c r="A7" i="36" a="1"/>
  <c r="B9" i="36" a="1"/>
  <c r="A12" i="38" a="1"/>
  <c r="A5" i="37" a="1"/>
  <c r="B3" i="38" a="1"/>
  <c r="B5" i="36" a="1"/>
  <c r="B6" i="37" a="1"/>
  <c r="B4" i="37" a="1"/>
  <c r="A11" i="17" a="1"/>
  <c r="A8" i="36" a="1"/>
  <c r="B3" i="37" a="1"/>
  <c r="A2" i="37" a="1"/>
  <c r="A11" i="37" a="1"/>
  <c r="A9" i="38" a="1"/>
  <c r="A10" i="17" a="1"/>
  <c r="A10" i="37" a="1"/>
  <c r="A3" i="40" a="1"/>
  <c r="B5" i="40" a="1"/>
  <c r="A8" i="40" a="1"/>
  <c r="B10" i="40" a="1"/>
  <c r="A6" i="40" a="1"/>
  <c r="B8" i="40" a="1"/>
  <c r="A11" i="40" a="1"/>
  <c r="B6" i="40" a="1"/>
  <c r="A9" i="40" a="1"/>
  <c r="B11" i="40" a="1"/>
  <c r="B4" i="40" a="1"/>
  <c r="A7" i="40" a="1"/>
  <c r="B9" i="40" a="1"/>
  <c r="A5" i="40" a="1"/>
  <c r="B7" i="40" a="1"/>
  <c r="A10" i="40" a="1"/>
  <c r="B3" i="40" a="1"/>
  <c r="A4" i="40" a="1"/>
  <c r="B2" i="40" a="1"/>
  <c r="A2" i="40" a="1"/>
  <c r="B8" i="25" a="1"/>
  <c r="A9" i="25" a="1"/>
  <c r="B4" i="25" a="1"/>
  <c r="A6" i="25" a="1"/>
  <c r="B3" i="25" a="1"/>
  <c r="A3" i="25" a="1"/>
  <c r="B10" i="25" a="1"/>
  <c r="B7" i="25" a="1"/>
  <c r="A8" i="25" a="1"/>
  <c r="A10" i="25" a="1"/>
  <c r="B11" i="25" a="1"/>
  <c r="A4" i="25" a="1"/>
  <c r="B5" i="25" a="1"/>
  <c r="B2" i="25" a="1"/>
  <c r="A2" i="25" a="1"/>
  <c r="B9" i="25" a="1"/>
  <c r="A11" i="25" a="1"/>
  <c r="B6" i="25" a="1"/>
  <c r="A7" i="25" a="1"/>
  <c r="A5" i="25" a="1"/>
  <c r="A4" i="40" l="1"/>
  <c r="B3" i="40"/>
  <c r="A10" i="40"/>
  <c r="B7" i="40"/>
  <c r="A5" i="40"/>
  <c r="B9" i="40"/>
  <c r="A7" i="40"/>
  <c r="B4" i="40"/>
  <c r="B11" i="40"/>
  <c r="A9" i="40"/>
  <c r="B6" i="40"/>
  <c r="A11" i="40"/>
  <c r="B8" i="40"/>
  <c r="A6" i="40"/>
  <c r="B10" i="40"/>
  <c r="A8" i="40"/>
  <c r="B5" i="40"/>
  <c r="A3" i="40"/>
  <c r="B2" i="40"/>
  <c r="A2" i="40"/>
  <c r="A4" i="27"/>
  <c r="B3" i="27"/>
  <c r="A10" i="27"/>
  <c r="B7" i="27"/>
  <c r="A5" i="27"/>
  <c r="B9" i="27"/>
  <c r="A7" i="27"/>
  <c r="B4" i="27"/>
  <c r="B11" i="27"/>
  <c r="A9" i="27"/>
  <c r="B6" i="27"/>
  <c r="A11" i="27"/>
  <c r="B8" i="27"/>
  <c r="A6" i="27"/>
  <c r="B10" i="27"/>
  <c r="A8" i="27"/>
  <c r="B5" i="27"/>
  <c r="A3" i="27"/>
  <c r="B2" i="27"/>
  <c r="A2" i="27"/>
  <c r="A2" i="38"/>
  <c r="A2" i="17"/>
  <c r="A10" i="37"/>
  <c r="A9" i="38"/>
  <c r="A11" i="37"/>
  <c r="B3" i="37"/>
  <c r="B4" i="37"/>
  <c r="B6" i="37"/>
  <c r="B3" i="38"/>
  <c r="A5" i="37"/>
  <c r="A12" i="38"/>
  <c r="A5" i="38"/>
  <c r="B5" i="37"/>
  <c r="A8" i="38"/>
  <c r="B11" i="37"/>
  <c r="B9" i="38"/>
  <c r="B2" i="38"/>
  <c r="B8" i="37"/>
  <c r="A10" i="38"/>
  <c r="A4" i="38"/>
  <c r="A11" i="38"/>
  <c r="B9" i="37"/>
  <c r="B7" i="37"/>
  <c r="A7" i="38"/>
  <c r="B8" i="38"/>
  <c r="B7" i="38"/>
  <c r="B5" i="38"/>
  <c r="B4" i="38"/>
  <c r="A8" i="37"/>
  <c r="B10" i="38"/>
  <c r="B2" i="37"/>
  <c r="A6" i="37"/>
  <c r="A6" i="38"/>
  <c r="A4" i="37"/>
  <c r="A9" i="37"/>
  <c r="A7" i="37"/>
  <c r="B11" i="38"/>
  <c r="A2" i="37"/>
  <c r="A2" i="36"/>
  <c r="B4" i="36"/>
  <c r="A7" i="36"/>
  <c r="B9" i="36"/>
  <c r="A10" i="36"/>
  <c r="A5" i="36"/>
  <c r="B10" i="36"/>
  <c r="B5" i="36"/>
  <c r="A8" i="36"/>
  <c r="A11" i="36"/>
  <c r="B2" i="36"/>
  <c r="B7" i="36"/>
  <c r="A3" i="36"/>
  <c r="B3" i="36"/>
  <c r="A6" i="36"/>
  <c r="A4" i="36"/>
  <c r="B6" i="36"/>
  <c r="A9" i="36"/>
  <c r="B11" i="36"/>
  <c r="B8" i="36"/>
  <c r="A11" i="17"/>
  <c r="A4" i="17"/>
  <c r="B8" i="17"/>
  <c r="B11" i="17"/>
  <c r="A10" i="17"/>
  <c r="B2" i="17"/>
  <c r="B5" i="17"/>
  <c r="B9" i="17"/>
  <c r="A6" i="17"/>
  <c r="B6" i="1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4" i="23" a="1"/>
  <c r="A8" i="23" a="1"/>
  <c r="B10" i="23" a="1"/>
  <c r="B5" i="23" a="1"/>
  <c r="B2" i="23" a="1"/>
  <c r="B7" i="23" a="1"/>
  <c r="A9" i="23" a="1"/>
  <c r="A5" i="23" a="1"/>
  <c r="A11" i="23" a="1"/>
  <c r="A7" i="23" a="1"/>
  <c r="B9" i="23" a="1"/>
  <c r="A3" i="23" a="1"/>
  <c r="B11" i="23" a="1"/>
  <c r="A6" i="23" a="1"/>
  <c r="A4" i="23" a="1"/>
  <c r="A10" i="23" a="1"/>
  <c r="B3" i="23" a="1"/>
  <c r="A2" i="23" a="1"/>
  <c r="B8" i="23" a="1"/>
  <c r="B6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  <c r="B6" i="38"/>
  <c r="A3" i="38"/>
  <c r="B10" i="37"/>
  <c r="A3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<sst xmlns="http://schemas.openxmlformats.org/spreadsheetml/2006/main" count="433" uniqueCount="158">
  <si>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</si>
  <si>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</si>
  <si>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</si>
  <si>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</si>
  <si>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</si>
  <si>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</si>
  <si>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</si>
  <si>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</si>
  <si>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</si>
  <si>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</si>
  <si>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</si>
  <si>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</si>
  <si>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</si>
  <si>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</si>
  <si>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</si>
  <si>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</si>
  <si>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</si>
  <si>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</si>
  <si>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</si>
  <si>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</si>
  <si>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</si>
  <si>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</si>
  <si>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</si>
  <si>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</si>
  <si>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</si>
  <si>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</si>
  <si>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</si>
  <si>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</si>
  <si>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</si>
  <si>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</si>
  <si>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</si>
  <si>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</si>
  <si>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</si>
  <si>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</si>
  <si>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</si>
  <si>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</si>
  <si>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</si>
  <si>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</si>
  <si>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</si>
  <si>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</si>
  <si>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</si>
  <si>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</si>
  <si>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</si>
  <si>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</si>
  <si>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</si>
  <si>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</si>
  <si>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</si>
  <si>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</si>
  <si>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</si>
  <si>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</si>
  <si>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</si>
  <si>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</si>
  <si>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</si>
  <si>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</si>
  <si>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</si>
  <si>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</si>
  <si>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</si>
  <si>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</si>
  <si>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</si>
  <si>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</si>
  <si>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</si>
  <si>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</si>
  <si>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</si>
  <si>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</si>
  <si>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</si>
  <si>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</si>
  <si>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</si>
  <si>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</si>
  <si>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</si>
  <si>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</si>
  <si>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</si>
  <si>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</si>
  <si>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</si>
  <si>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</si>
  <si>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</si>
  <si>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</si>
  <si>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</si>
  <si>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</si>
  <si>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</si>
  <si>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</si>
  <si>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</si>
  <si>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</si>
  <si>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</si>
  <si>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</si>
  <si>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</si>
  <si>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</si>
  <si>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</si>
  <si>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</si>
  <si>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</si>
  <si>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</si>
  <si>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</si>
  <si>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</si>
  <si>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</si>
  <si>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</si>
  <si>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</si>
  <si>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</si>
  <si>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</si>
  <si>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</si>
  <si>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</si>
  <si>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</si>
  <si>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</si>
  <si>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</si>
  <si>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</si>
  <si>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</si>
  <si>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</si>
  <si>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</si>
  <si>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</si>
  <si>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</si>
  <si>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</si>
  <si>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</si>
  <si>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</si>
  <si>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</si>
  <si>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</si>
  <si>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</si>
  <si>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</si>
  <si>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</si>
  <si>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</si>
  <si>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</si>
  <si>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</si>
  <si>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</si>
  <si>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</si>
  <si>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</si>
  <si>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</si>
  <si>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</si>
  <si>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</si>
  <si>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</si>
  <si>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</si>
  <si>
    <t>東京都新宿区西新宿２丁目８ー１　ＳＨＩＮＪＵＫＵタワー</t>
  </si>
  <si>
    <t>０３ー１２３４ー５６７８</t>
  </si>
  <si>
    <t>０１１ー２３４ー５６７８</t>
  </si>
  <si>
    <t>大阪府大阪市北区梅田３ー１ー１　グランプロントＯＳＡＫＡ</t>
  </si>
  <si>
    <t>０６ー６５７８ー１２３４</t>
  </si>
  <si>
    <t>神奈川県横浜市西区みなとみらい３ー５ー１　ヨコハマビル</t>
  </si>
  <si>
    <t>０４５ー１２３４ー５６７８</t>
  </si>
  <si>
    <t>名古屋市中区錦１ー１ー１　ナゴヤグランドタワーナゴヤ</t>
  </si>
  <si>
    <t>０５２ー１２３４ー５６７８</t>
  </si>
  <si>
    <t>さいたま市大宮区桜木町１丁目１番地１号　ＯＭＩＹＡ ＰＬＡＺＡ</t>
  </si>
  <si>
    <t>０４８ー９８７６ー１２３４</t>
  </si>
  <si>
    <t>千葉県千葉市中央区富士見２丁目３ー１０　チパセンター</t>
  </si>
  <si>
    <t>０７５ー２３４ー５６７８</t>
  </si>
  <si>
    <t>０８２ー５６７８ー１２３４</t>
  </si>
  <si>
    <t>大阪府大阪市北区梅田３-１-１　グランプロントＯＳＡＫＡ</t>
  </si>
  <si>
    <t>０６-６５７８-１２３４</t>
  </si>
  <si>
    <t>福岡市博多区博多駅前１-１-１　タワーハカタ</t>
  </si>
  <si>
    <t>０９２-２３４-１２３４</t>
  </si>
  <si>
    <t>神奈川県横浜市西区みなとみらい３-５-１　ヨコハマビル</t>
  </si>
  <si>
    <t>０４５-１２３４-５６７８</t>
  </si>
  <si>
    <t>名古屋市中区錦１-１-１　ナゴヤグランドタワーナゴヤ</t>
  </si>
  <si>
    <t>０５２-１２３４-５６７８</t>
  </si>
  <si>
    <t>０４８-９８７６-１２３４</t>
  </si>
  <si>
    <t>千葉県千葉市中央区富士見２丁目３-１０　チパセンター</t>
  </si>
  <si>
    <t>０４３-１２３-４５６７</t>
  </si>
  <si>
    <t>０７５-２３４-５６７８</t>
  </si>
  <si>
    <t>０８２-５６７８-１２３４</t>
  </si>
  <si>
    <t>北海道札幌市中央区北３条西２丁目１番地　　ホッカイドウビル</t>
    <phoneticPr fontId="1"/>
  </si>
  <si>
    <t>０３-　１２３４-５６７８</t>
    <phoneticPr fontId="1"/>
  </si>
  <si>
    <t>０１１-２３４-５６７８</t>
    <phoneticPr fontId="1"/>
  </si>
  <si>
    <t>東京都新宿区西新宿２丁目８- １　ＳＨＩＮＪＵＫＵタワー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</si>
</sst>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EE1D28-452E-6443-AAFC-3F15EF250F3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355600</xdr:colOff>
      <xdr:row>9</xdr:row>
      <xdr:rowOff>241300</xdr:rowOff>
    </xdr:from>
    <xdr:to>
      <xdr:col>31</xdr:col>
      <xdr:colOff>393700</xdr:colOff>
      <xdr:row>18</xdr:row>
      <xdr:rowOff>228600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A275D6B-CA99-BE4E-B583-8011E14E0D81}"/>
            </a:ext>
          </a:extLst>
        </xdr:cNvPr>
        <xdr:cNvSpPr/>
      </xdr:nvSpPr>
      <xdr:spPr>
        <a:xfrm>
          <a:off x="18453100" y="25273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9BF0D7A-CA43-C246-8587-8CEDBDC686B0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C25EB95-34B3-2C4F-BF9E-1109F551D553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CA93DA3-A931-DD44-86BC-31DCA1152291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A1EB158-194D-BA4A-8EE0-987D161EE8B4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F71E239-8D9B-8A45-B74F-A51629196374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solidFill>
              <a:sysClr val="windowText" lastClr="00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6-7.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C331073-8F3D-EC40-9231-4BCD302FFE90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1985210</xdr:colOff>
      <xdr:row>5</xdr:row>
      <xdr:rowOff>300790</xdr:rowOff>
    </xdr:from>
    <xdr:to>
      <xdr:col>4</xdr:col>
      <xdr:colOff>2172369</xdr:colOff>
      <xdr:row>11</xdr:row>
      <xdr:rowOff>107615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9317789" y="2339474"/>
          <a:ext cx="7332580" cy="1852194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濁点・半濁点付き半角カタカナの変換がうまく行かないので１変換処理ごとに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以降で組み立てていくことに。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1</xdr:row>
      <xdr:rowOff>320842</xdr:rowOff>
    </xdr:from>
    <xdr:to>
      <xdr:col>4</xdr:col>
      <xdr:colOff>2125580</xdr:colOff>
      <xdr:row>8</xdr:row>
      <xdr:rowOff>213894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D9A60AA-10A3-C44A-B208-AFB2EEFDA089}"/>
            </a:ext>
          </a:extLst>
        </xdr:cNvPr>
        <xdr:cNvSpPr/>
      </xdr:nvSpPr>
      <xdr:spPr>
        <a:xfrm>
          <a:off x="10093158" y="995947"/>
          <a:ext cx="6510422" cy="227931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module6-3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module6-1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と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は省略しています）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	 </a:t>
          </a:r>
        </a:p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ここまでは比較的スムーズにきました。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3</xdr:row>
      <xdr:rowOff>220579</xdr:rowOff>
    </xdr:from>
    <xdr:to>
      <xdr:col>4</xdr:col>
      <xdr:colOff>2125580</xdr:colOff>
      <xdr:row>9</xdr:row>
      <xdr:rowOff>227263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379507B-04D6-2948-A51E-15CA0BA64A16}"/>
            </a:ext>
          </a:extLst>
        </xdr:cNvPr>
        <xdr:cNvSpPr/>
      </xdr:nvSpPr>
      <xdr:spPr>
        <a:xfrm>
          <a:off x="10093158" y="1577474"/>
          <a:ext cx="6510422" cy="2052052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module6-4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module10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です。（わかりにくい！）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2767263</xdr:colOff>
      <xdr:row>1</xdr:row>
      <xdr:rowOff>227263</xdr:rowOff>
    </xdr:from>
    <xdr:to>
      <xdr:col>6</xdr:col>
      <xdr:colOff>220580</xdr:colOff>
      <xdr:row>9</xdr:row>
      <xdr:rowOff>153737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7F9F655-60D9-7C4E-9B8D-556EC21A1ADF}"/>
            </a:ext>
          </a:extLst>
        </xdr:cNvPr>
        <xdr:cNvSpPr/>
      </xdr:nvSpPr>
      <xdr:spPr>
        <a:xfrm>
          <a:off x="10099842" y="902368"/>
          <a:ext cx="6510422" cy="2653632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一応できたと思ったら、不要なスペースの処理が必要だと気づく。全てのスペースには対応できないので、住所と電話番号は別関数で管理しようかなーっとか、やっていると色々気づくものですね。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（まだ途中）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topLeftCell="A6" zoomScale="150" zoomScaleNormal="150" workbookViewId="0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E5EC-4158-084E-BDAB-6D157CAECA64}">
  <sheetPr codeName="Sheet22">
    <tabColor theme="4"/>
  </sheetPr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0659-210D-5A4F-AE18-D90391DD767B}">
  <sheetPr codeName="Sheet23">
    <tabColor theme="4"/>
  </sheetPr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DD5E6-B798-534F-A398-CA8218ADB47E}">
  <sheetPr codeName="Sheet26">
    <tabColor theme="4"/>
  </sheetPr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073-DA63-1745-A0A4-9DD37A390FDF}">
  <sheetPr codeName="Sheet25">
    <tabColor theme="4"/>
  </sheetPr>
  <dimension ref="A1"/>
  <sheetViews>
    <sheetView tabSelected="1" topLeftCell="A8" workbookViewId="0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190" zoomScaleNormal="190"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90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122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123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125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91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124</v>
      </c>
      <c r="D9" s="2" t="s">
        <v>126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6CC8-1704-F448-A874-00D20C07D61E}">
  <sheetPr codeName="Sheet28">
    <tabColor rgb="FFFFFF00"/>
  </sheetPr>
  <dimension ref="A1:D12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127</v>
      </c>
      <c r="D2" s="2" t="s">
        <v>128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94</v>
      </c>
      <c r="D3" s="2" t="s">
        <v>129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130</v>
      </c>
      <c r="D4" s="2" t="s">
        <v>131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97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132</v>
      </c>
      <c r="D6" s="2" t="s">
        <v>133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134</v>
      </c>
      <c r="D7" s="2" t="s">
        <v>135</v>
      </c>
    </row>
    <row r="8" spans="1:4" ht="27" customHeight="1">
      <c r="A8" s="4" t="str" cm="1">
        <f t="array" ref="A8">NormalizeAndProcessText(C8)</f>
        <v>さいたま市大宮区桜木町１丁目１番地１号　ＯＭＩＹＡ　ＰＬＡＺＡ</v>
      </c>
      <c r="B8" s="4" t="str" cm="1">
        <f t="array" ref="B8">NormalizeAndProcessText(D8)</f>
        <v>０４８-９８７６-１２３４</v>
      </c>
      <c r="C8" s="2" t="s">
        <v>136</v>
      </c>
      <c r="D8" s="2" t="s">
        <v>137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138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105</v>
      </c>
      <c r="D10" s="2" t="s">
        <v>139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107</v>
      </c>
      <c r="D11" s="2" t="s">
        <v>140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7895-B52C-7A4B-9468-1A742E84D3CB}">
  <sheetPr codeName="Sheet30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NormalizeAndProcessText3(C2)</f>
        <v>東京都新宿区西新宿2丁目8- 1 SHINJUKUタワー</v>
      </c>
      <c r="B2" s="4" t="str" cm="1">
        <f t="array" ref="B2">NormalizeAndProcessText3(D2)</f>
        <v>03- 1234-5678</v>
      </c>
      <c r="C2" s="2" t="s">
        <v>157</v>
      </c>
      <c r="D2" s="2" t="s">
        <v>155</v>
      </c>
    </row>
    <row r="3" spans="1:4" ht="27" customHeight="1">
      <c r="A3" s="4" t="str" cm="1">
        <f t="array" ref="A3">NormalizeAndProcessText3(C3)</f>
        <v>北海道札幌市中央区北3条西2丁目1番地 ホッカイドウビル</v>
      </c>
      <c r="B3" s="4" t="str" cm="1">
        <f t="array" ref="B3">NormalizeAndProcessText3(D3)</f>
        <v>011-234-5678</v>
      </c>
      <c r="C3" s="2" t="s">
        <v>154</v>
      </c>
      <c r="D3" s="2" t="s">
        <v>156</v>
      </c>
    </row>
    <row r="4" spans="1:4" ht="27" customHeight="1">
      <c r="A4" s="4" t="str" cm="1">
        <f t="array" ref="A4">NormalizeAndProcessText3(C4)</f>
        <v>大阪府大阪市北区梅田3-1-1 グランプロントOSAKA</v>
      </c>
      <c r="B4" s="4" t="str" cm="1">
        <f t="array" ref="B4">NormalizeAndProcessText3(D4)</f>
        <v>06-6578-1234</v>
      </c>
      <c r="C4" s="2" t="s">
        <v>141</v>
      </c>
      <c r="D4" s="2" t="s">
        <v>142</v>
      </c>
    </row>
    <row r="5" spans="1:4" ht="27" customHeight="1">
      <c r="A5" s="4" t="str" cm="1">
        <f t="array" ref="A5">NormalizeAndProcessText3(C5)</f>
        <v>福岡市博多区博多駅前1-1-1 タワーハカタ</v>
      </c>
      <c r="B5" s="4" t="str" cm="1">
        <f t="array" ref="B5">NormalizeAndProcessText3(D5)</f>
        <v>092-234-1234</v>
      </c>
      <c r="C5" s="2" t="s">
        <v>143</v>
      </c>
      <c r="D5" s="2" t="s">
        <v>144</v>
      </c>
    </row>
    <row r="6" spans="1:4" ht="27" customHeight="1">
      <c r="A6" s="4" t="str" cm="1">
        <f t="array" ref="A6">NormalizeAndProcessText3(C6)</f>
        <v>神奈川県横浜市西区みなとみらい3-5-1 ヨコハマビル</v>
      </c>
      <c r="B6" s="4" t="str" cm="1">
        <f t="array" ref="B6">NormalizeAndProcessText3(D6)</f>
        <v>045-1234-5678</v>
      </c>
      <c r="C6" s="2" t="s">
        <v>145</v>
      </c>
      <c r="D6" s="2" t="s">
        <v>146</v>
      </c>
    </row>
    <row r="7" spans="1:4" ht="27" customHeight="1">
      <c r="A7" s="4" t="str" cm="1">
        <f t="array" ref="A7">NormalizeAndProcessText3(C7)</f>
        <v>名古屋市中区錦1-1-1 ナゴヤグランドタワーナゴヤ</v>
      </c>
      <c r="B7" s="4" t="str" cm="1">
        <f t="array" ref="B7">NormalizeAndProcessText3(D7)</f>
        <v>052-1234-5678</v>
      </c>
      <c r="C7" s="2" t="s">
        <v>147</v>
      </c>
      <c r="D7" s="2" t="s">
        <v>148</v>
      </c>
    </row>
    <row r="8" spans="1:4" ht="27" customHeight="1">
      <c r="A8" s="4" t="str" cm="1">
        <f t="array" ref="A8">NormalizeAndProcessText3(C8)</f>
        <v>さいたま市大宮区桜木町1丁目1番地1号 OMIYA PLAZA</v>
      </c>
      <c r="B8" s="4" t="str" cm="1">
        <f t="array" ref="B8">NormalizeAndProcessText3(D8)</f>
        <v>048-9876-1234</v>
      </c>
      <c r="C8" s="2" t="s">
        <v>102</v>
      </c>
      <c r="D8" s="2" t="s">
        <v>149</v>
      </c>
    </row>
    <row r="9" spans="1:4" ht="27" customHeight="1">
      <c r="A9" s="4" t="str" cm="1">
        <f t="array" ref="A9">NormalizeAndProcessText3(C9)</f>
        <v>千葉県千葉市中央区富士見2丁目3-10 チパセンター</v>
      </c>
      <c r="B9" s="4" t="str" cm="1">
        <f t="array" ref="B9">NormalizeAndProcessText3(D9)</f>
        <v>043-123-4567</v>
      </c>
      <c r="C9" s="2" t="s">
        <v>150</v>
      </c>
      <c r="D9" s="2" t="s">
        <v>151</v>
      </c>
    </row>
    <row r="10" spans="1:4" ht="27" customHeight="1">
      <c r="A10" s="4" t="str" cm="1">
        <f t="array" ref="A10">NormalizeAndProcessText3(C10)</f>
        <v>京都府京都市下京区四条通烏丸東入長刀鉾町 キョウトビルディング</v>
      </c>
      <c r="B10" s="4" t="str" cm="1">
        <f t="array" ref="B10">NormalizeAndProcessText3(D10)</f>
        <v>075-234-5678</v>
      </c>
      <c r="C10" s="2" t="s">
        <v>105</v>
      </c>
      <c r="D10" s="2" t="s">
        <v>152</v>
      </c>
    </row>
    <row r="11" spans="1:4" ht="27" customHeight="1">
      <c r="A11" s="4" t="str" cm="1">
        <f t="array" ref="A11">NormalizeAndProcessText3(C11)</f>
        <v>広島県広島市中区紙屋町2丁目2番15号 ヒロシマタワー</v>
      </c>
      <c r="B11" s="4" t="str" cm="1">
        <f t="array" ref="B11">NormalizeAndProcessText3(D11)</f>
        <v>082-5678-1234</v>
      </c>
      <c r="C11" s="2" t="s">
        <v>107</v>
      </c>
      <c r="D11" s="2" t="s">
        <v>153</v>
      </c>
    </row>
  </sheetData>
  <phoneticPr fontId="1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BB379-D22E-144D-A125-9CD9CE09B957}">
  <sheetPr codeName="Sheet29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C28FF-81B3-9C4B-8D1F-FE240712FEB2}">
  <sheetPr codeName="Sheet24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0B4D2-03A6-8F42-AEC4-82CCA3220AD3}">
  <sheetPr codeName="Sheet27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127</v>
      </c>
      <c r="D2" s="2" t="s">
        <v>128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94</v>
      </c>
      <c r="D3" s="2" t="s">
        <v>129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130</v>
      </c>
      <c r="D4" s="2" t="s">
        <v>131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97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132</v>
      </c>
      <c r="D6" s="2" t="s">
        <v>133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134</v>
      </c>
      <c r="D7" s="2" t="s">
        <v>135</v>
      </c>
    </row>
    <row r="8" spans="1:4" ht="27" customHeight="1">
      <c r="A8" s="4" t="str" cm="1">
        <f t="array" ref="A8">NormalizeAndProcessText(C8)</f>
        <v>さいたま市大宮区桜木町１丁目１番地１号　ＯＭＩＹＡ　ＰＬＡＺＡ</v>
      </c>
      <c r="B8" s="4" t="str" cm="1">
        <f t="array" ref="B8">NormalizeAndProcessText(D8)</f>
        <v>０４８-９８７６-１２３４</v>
      </c>
      <c r="C8" s="2" t="s">
        <v>136</v>
      </c>
      <c r="D8" s="2" t="s">
        <v>137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138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105</v>
      </c>
      <c r="D10" s="2" t="s">
        <v>139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107</v>
      </c>
      <c r="D11" s="2" t="s">
        <v>140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workbookViewId="0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workbookViewId="0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29</vt:i4>
      </vt:variant>
    </vt:vector>
  </HeadingPairs>
  <TitlesOfParts>
    <vt:vector size="29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P6-2_全角半角</vt:lpstr>
      <vt:lpstr>P6-3_全角半角</vt:lpstr>
      <vt:lpstr>P6-4_全角半角</vt:lpstr>
      <vt:lpstr>P6-5_全角半角</vt:lpstr>
      <vt:lpstr>P7_全角半角</vt:lpstr>
      <vt:lpstr>P8_マージ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(6-3)</vt:lpstr>
      <vt:lpstr>module (6-4)</vt:lpstr>
      <vt:lpstr>module (6-5)</vt:lpstr>
      <vt:lpstr>module (7)</vt:lpstr>
      <vt:lpstr>module (11)</vt:lpstr>
      <vt:lpstr>module (8)</vt:lpstr>
      <vt:lpstr>module (9)</vt:lpstr>
      <vt:lpstr>module (10)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竹内 拓海</cp:lastModifiedBy>
  <dcterms:created xsi:type="dcterms:W3CDTF">2025-01-18T06:06:43Z</dcterms:created>
  <dcterms:modified xsi:type="dcterms:W3CDTF">2025-01-28T09:11:58Z</dcterms:modified>
</cp:coreProperties>
</file>